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n-Functional Tests" sheetId="1" state="visible" r:id="rId3"/>
    <sheet name="Summary" sheetId="2" state="visible" r:id="rId4"/>
    <sheet name="Load Tests" sheetId="3" state="visible" r:id="rId5"/>
  </sheets>
  <definedNames>
    <definedName function="false" hidden="true" localSheetId="0" name="_xlnm._FilterDatabase" vbProcedure="false">'Non-Functional Tests'!$A$4:$M$38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<sst xmlns="http://schemas.openxmlformats.org/spreadsheetml/2006/main" count="460" uniqueCount="308">
  <si>
    <t xml:space="preserve">VISTA – Non-Functional Test Cases</t>
  </si>
  <si>
    <t xml:space="preserve">Generated 18 Oct 2026 22:27 IST from test-results/test-results.json. Status values: Pass, Fail, Blocked, Not Run (drop-down). Edit Status / Actual Result to record a manual re-test; the Summary sheet updates automatically.</t>
  </si>
  <si>
    <t xml:space="preserve">TC ID</t>
  </si>
  <si>
    <t xml:space="preserve">Quality Attribute</t>
  </si>
  <si>
    <t xml:space="preserve">Test Case Description</t>
  </si>
  <si>
    <t xml:space="preserve">Metric / Acceptance Criteria</t>
  </si>
  <si>
    <t xml:space="preserve">Target Source</t>
  </si>
  <si>
    <t xml:space="preserve">Test Steps / Tools</t>
  </si>
  <si>
    <t xml:space="preserve">Expected Result</t>
  </si>
  <si>
    <t xml:space="preserve">Actual Result</t>
  </si>
  <si>
    <t xml:space="preserve">Status</t>
  </si>
  <si>
    <t xml:space="preserve">Evidence</t>
  </si>
  <si>
    <t xml:space="preserve">Defect ID</t>
  </si>
  <si>
    <t xml:space="preserve">Requirement</t>
  </si>
  <si>
    <t xml:space="preserve">Execution</t>
  </si>
  <si>
    <t xml:space="preserve">NFT-01</t>
  </si>
  <si>
    <t xml:space="preserve">Performance</t>
  </si>
  <si>
    <t xml:space="preserve">API response time under normal load</t>
  </si>
  <si>
    <t xml:space="preserve">Average response &lt; 3 s; errors &lt; 0.5 %</t>
  </si>
  <si>
    <t xml:space="preserve">PDF NFR02</t>
  </si>
  <si>
    <t xml:space="preserve">k6: 50 virtual users, 60 s + ramp, mixed read/write, 1 s think time</t>
  </si>
  <si>
    <t xml:space="preserve">Average well below 3 s, no errors</t>
  </si>
  <si>
    <t xml:space="preserve">50 users, 9,966 requests, 129.33 req/s, failed 0.00 %, avg 54 ms, p95 92 ms, max 261 ms</t>
  </si>
  <si>
    <t xml:space="preserve">Pass</t>
  </si>
  <si>
    <t xml:space="preserve">k6-normal-50vus.json</t>
  </si>
  <si>
    <t xml:space="preserve">NFR02</t>
  </si>
  <si>
    <t xml:space="preserve">Executed</t>
  </si>
  <si>
    <t xml:space="preserve">NFT-02</t>
  </si>
  <si>
    <t xml:space="preserve">300 concurrent users (peak hostel hours)</t>
  </si>
  <si>
    <t xml:space="preserve">300 VUs: errors &lt; 0.5 % and average &lt; 3 s</t>
  </si>
  <si>
    <t xml:space="preserve">PDF NFR01 + NFR02</t>
  </si>
  <si>
    <t xml:space="preserve">k6: 300 virtual users, 60 s + ramp</t>
  </si>
  <si>
    <t xml:space="preserve">System stays responsive with no failed requests</t>
  </si>
  <si>
    <t xml:space="preserve">300 users, 12,713 requests, 162.14 req/s, failed 0.00 %, avg 1363 ms, p95 1921 ms, max 3021 ms (after fix of DEF-03; first run: 0.82 % failed, p99 32 s)</t>
  </si>
  <si>
    <t xml:space="preserve">k6-peak-300vus.json</t>
  </si>
  <si>
    <t xml:space="preserve">DEF-03 (fixed)</t>
  </si>
  <si>
    <t xml:space="preserve">NFR01</t>
  </si>
  <si>
    <t xml:space="preserve">NFT-03</t>
  </si>
  <si>
    <t xml:space="preserve">Page load time of key pages</t>
  </si>
  <si>
    <t xml:space="preserve">Content visible &lt; 3 s</t>
  </si>
  <si>
    <t xml:space="preserve">Project target</t>
  </si>
  <si>
    <t xml:space="preserve">Playwright: dashboard, complaints, notices, deliveries, 3 loads each</t>
  </si>
  <si>
    <t xml:space="preserve">Every page &lt; 3 s</t>
  </si>
  <si>
    <t xml:space="preserve">UI: Avg time until content visible (3 loads each, local server): / 175 ms, /complaints 143 ms, /notices 133 ms, /delivery 146 ms; worst 175 ms</t>
  </si>
  <si>
    <t xml:space="preserve">playwright-results.json</t>
  </si>
  <si>
    <t xml:space="preserve">NFT-04</t>
  </si>
  <si>
    <t xml:space="preserve">Emergency response</t>
  </si>
  <si>
    <t xml:space="preserve">SOS reaches wardens/security quickly under load</t>
  </si>
  <si>
    <t xml:space="preserve">Alert visible to warden &lt; 5 s</t>
  </si>
  <si>
    <t xml:space="preserve">PDF NFR03</t>
  </si>
  <si>
    <t xml:space="preserve">20 SOS alerts during a 150-user k6 load; poll warden SOS board</t>
  </si>
  <si>
    <t xml:space="preserve">Every alert &lt; 5 s</t>
  </si>
  <si>
    <t xml:space="preserve">20 SOS alerts raised during a 150 virtual users (k6) load: server-side notify delay max 114.5 ms; alert visible on warden board avg 1295.0 ms, p95 1942.1 ms, max 2065.1 ms</t>
  </si>
  <si>
    <t xml:space="preserve">nft-results.json</t>
  </si>
  <si>
    <t xml:space="preserve">NFR03</t>
  </si>
  <si>
    <t xml:space="preserve">NFT-05</t>
  </si>
  <si>
    <t xml:space="preserve">Dashboard and database query time with large data</t>
  </si>
  <si>
    <t xml:space="preserve">Average &lt; 3 s per endpoint</t>
  </si>
  <si>
    <t xml:space="preserve">Insert 20k complaints, 5k deliveries, 20k notifications; time 6 endpoints x10</t>
  </si>
  <si>
    <t xml:space="preserve">All endpoints &lt; 3 s</t>
  </si>
  <si>
    <t xml:space="preserve">With +20,000 complaints, +5,000 deliveries, +20,000 notifications: warden dashboard avg 34.1 ms; admin reports avg 93.6 ms; complaint search avg 65.6 ms; complaint page 500 avg 62.8 ms; student notifications avg 13.6 ms; all deliveries avg 345.3 ms. Slowest average 345.3 ms</t>
  </si>
  <si>
    <t xml:space="preserve">NFR02, NFR04</t>
  </si>
  <si>
    <t xml:space="preserve">NFT-06</t>
  </si>
  <si>
    <t xml:space="preserve">Scalability</t>
  </si>
  <si>
    <t xml:space="preserve">Performance degradation as load increases</t>
  </si>
  <si>
    <t xml:space="preserve">p95 at 300 users &lt;= 2 x p95 at 50 users</t>
  </si>
  <si>
    <t xml:space="preserve">PDF NFR01 wording</t>
  </si>
  <si>
    <t xml:space="preserve">Compare k6 runs at 50, 150 and 300 users</t>
  </si>
  <si>
    <t xml:space="preserve">No significant degradation</t>
  </si>
  <si>
    <t xml:space="preserve">p95: 92 ms (50 users) → 781 ms (150) → 1921 ms (300) = 20.8x; throughput 129.33 → 167.1 → 162.14 req/s. CPU-bound on a 2-vCPU host shared with PostgreSQL and the load generator</t>
  </si>
  <si>
    <t xml:space="preserve">Fail</t>
  </si>
  <si>
    <t xml:space="preserve">k6-*.json</t>
  </si>
  <si>
    <t xml:space="preserve">DEF-05</t>
  </si>
  <si>
    <t xml:space="preserve">NFR01, NFR04</t>
  </si>
  <si>
    <t xml:space="preserve">NFT-07</t>
  </si>
  <si>
    <t xml:space="preserve">Security</t>
  </si>
  <si>
    <t xml:space="preserve">Authentication required on every protected endpoint</t>
  </si>
  <si>
    <t xml:space="preserve">100 % of protected routes return 401 without token</t>
  </si>
  <si>
    <t xml:space="preserve">pytest: call every API route/method without a token</t>
  </si>
  <si>
    <t xml:space="preserve">All 401</t>
  </si>
  <si>
    <t xml:space="preserve">API: 0 protected endpoint/method pairs called without a token: all returned 401</t>
  </si>
  <si>
    <t xml:space="preserve">pytest-results.json</t>
  </si>
  <si>
    <t xml:space="preserve">NFR05</t>
  </si>
  <si>
    <t xml:space="preserve">NFT-08</t>
  </si>
  <si>
    <t xml:space="preserve">Role-based authorisation matrix</t>
  </si>
  <si>
    <t xml:space="preserve">Every cross-role operation returns 403</t>
  </si>
  <si>
    <t xml:space="preserve">PDF NFR05</t>
  </si>
  <si>
    <t xml:space="preserve">pytest: 16 operations by student, staff, warden, admin</t>
  </si>
  <si>
    <t xml:space="preserve">All 403</t>
  </si>
  <si>
    <t xml:space="preserve">API: 16 cross-role operations (student, staff, warden, admin) all denied with 403 by the backend</t>
  </si>
  <si>
    <t xml:space="preserve">NFT-09</t>
  </si>
  <si>
    <t xml:space="preserve">SQL injection resistance</t>
  </si>
  <si>
    <t xml:space="preserve">No auth bypass, no 500 errors, data intact</t>
  </si>
  <si>
    <t xml:space="preserve">pytest: 5 payloads x login + 3 search inputs</t>
  </si>
  <si>
    <t xml:space="preserve">Login 401; searches safe</t>
  </si>
  <si>
    <t xml:space="preserve">API: 5 injection payloads x 4 inputs (20 requests): login always 401, searches 200 with no extra rows, 0 server errors, users table intact</t>
  </si>
  <si>
    <t xml:space="preserve">NFT-10</t>
  </si>
  <si>
    <t xml:space="preserve">Cross-site scripting (stored XSS)</t>
  </si>
  <si>
    <t xml:space="preserve">No script executes; text shown literally; CSP present</t>
  </si>
  <si>
    <t xml:space="preserve">Playwright: save &lt;img onerror&gt; and &lt;script&gt; payloads, view as student and warden</t>
  </si>
  <si>
    <t xml:space="preserve">0 dialogs, 0 injected elements</t>
  </si>
  <si>
    <t xml:space="preserve">UI: Payloads shown literally to student and warden; JavaScript dialogs triggered: 0; injected &lt;img&gt; elements: 0; CSP header: present (script-src 'self')</t>
  </si>
  <si>
    <t xml:space="preserve">DEF-07 (fixed)</t>
  </si>
  <si>
    <t xml:space="preserve">NFT-11</t>
  </si>
  <si>
    <t xml:space="preserve">Session / token handling</t>
  </si>
  <si>
    <t xml:space="preserve">Tampered, expired, forged and alg=none tokens rejected</t>
  </si>
  <si>
    <t xml:space="preserve">pytest with crafted JWTs; check expiry window</t>
  </si>
  <si>
    <t xml:space="preserve">API: Tampered, expired, wrong-key and alg=none tokens all 401; tokens expire after 120 min; logout revocation covered in FT-41</t>
  </si>
  <si>
    <t xml:space="preserve">NFT-12</t>
  </si>
  <si>
    <t xml:space="preserve">Protection of sensitive information</t>
  </si>
  <si>
    <t xml:space="preserve">No hashes in responses; passwords/OTPs bcrypt-hashed</t>
  </si>
  <si>
    <t xml:space="preserve">PDF NFR06 (partial)</t>
  </si>
  <si>
    <t xml:space="preserve">pytest: scan API responses; inspect stored hashes</t>
  </si>
  <si>
    <t xml:space="preserve">No leaks</t>
  </si>
  <si>
    <t xml:space="preserve">API: No password/OTP hashes in any API response; 69 passwords bcrypt-hashed; 7 OTPs stored as bcrypt hashes; OTP/QR secret shown only to the receiver (FT-24)</t>
  </si>
  <si>
    <t xml:space="preserve">NFR06</t>
  </si>
  <si>
    <t xml:space="preserve">NFT-13</t>
  </si>
  <si>
    <t xml:space="preserve">Brute-force protection</t>
  </si>
  <si>
    <t xml:space="preserve">Account locked after 5 failed logins</t>
  </si>
  <si>
    <t xml:space="preserve">pytest: 6 wrong passwords then correct password</t>
  </si>
  <si>
    <t xml:space="preserve">6th attempt -&gt; 429</t>
  </si>
  <si>
    <t xml:space="preserve">API: 5 wrong passwords -&gt; 401 each; 6th attempt -&gt; 429; correct password while locked -&gt; 429 'Too many failed attempts. Try again in 15 minutes.'</t>
  </si>
  <si>
    <t xml:space="preserve">NFT-14</t>
  </si>
  <si>
    <t xml:space="preserve">File upload validation</t>
  </si>
  <si>
    <t xml:space="preserve">Executables, fake PDFs, SVG, empty files rejected</t>
  </si>
  <si>
    <t xml:space="preserve">pytest: upload malicious / invalid files</t>
  </si>
  <si>
    <t xml:space="preserve">415 / 422 / 413</t>
  </si>
  <si>
    <t xml:space="preserve">API: Uploads rejected: exe as octet-stream -&gt; 415; html renamed pdf -&gt; 415; empty file -&gt; 422; svg image -&gt; 415; size limit 2 MB -&gt; 413 (FT-35)</t>
  </si>
  <si>
    <t xml:space="preserve">NFT-15</t>
  </si>
  <si>
    <t xml:space="preserve">Accessibility</t>
  </si>
  <si>
    <t xml:space="preserve">Automated WCAG 2.1 A/AA scan</t>
  </si>
  <si>
    <t xml:space="preserve">0 serious or critical violations</t>
  </si>
  <si>
    <t xml:space="preserve">Playwright + axe-core on 7 pages</t>
  </si>
  <si>
    <t xml:space="preserve">No serious issues</t>
  </si>
  <si>
    <t xml:space="preserve">UI: 7 pages scanned. /login: 0 serious/critical rule(s); /: 0 serious/critical rule(s); /complaints: 0 serious/critical rule(s); /visitors: 0 serious/critical rule(s); /delivery: 0 serious/critical rule(s); /sos: 0 serious/critical rule(s); /profile: 0 serious/critical rule(s). Total serious/critical nodes: 0</t>
  </si>
  <si>
    <t xml:space="preserve">NFR10</t>
  </si>
  <si>
    <t xml:space="preserve">NFT-16</t>
  </si>
  <si>
    <t xml:space="preserve">Usability</t>
  </si>
  <si>
    <t xml:space="preserve">Keyboard-only navigation</t>
  </si>
  <si>
    <t xml:space="preserve">Login and complaint form usable without a mouse</t>
  </si>
  <si>
    <t xml:space="preserve">Playwright: Tab / Enter / Escape only</t>
  </si>
  <si>
    <t xml:space="preserve">All steps work; skip link first</t>
  </si>
  <si>
    <t xml:space="preserve">UI: Login completed with Tab/typing/Enter only; complaint dialog opened with Enter, focus moved into the form, Escape closed it; 'Skip to content' link is first in tab order</t>
  </si>
  <si>
    <t xml:space="preserve">NFT-17</t>
  </si>
  <si>
    <t xml:space="preserve">Form validation feedback</t>
  </si>
  <si>
    <t xml:space="preserve">Errors shown inline, announced (role=alert), linked to fields</t>
  </si>
  <si>
    <t xml:space="preserve">Playwright: submit empty registration form</t>
  </si>
  <si>
    <t xml:space="preserve">&gt;= 5 linked inline errors</t>
  </si>
  <si>
    <t xml:space="preserve">UI: Empty registration submit: 6 inline errors with role=alert; inputs marked aria-invalid and linked via aria-describedby</t>
  </si>
  <si>
    <t xml:space="preserve">NFT-18</t>
  </si>
  <si>
    <t xml:space="preserve">Responsive layout</t>
  </si>
  <si>
    <t xml:space="preserve">No horizontal scrolling at 375, 768, 1366 px</t>
  </si>
  <si>
    <t xml:space="preserve">Playwright: 8 pages x 3 widths</t>
  </si>
  <si>
    <t xml:space="preserve">No overflow</t>
  </si>
  <si>
    <t xml:space="preserve">UI: 8 pages x 3 widths (375, 768, 1366 px) checked; pages with horizontal overflow: none</t>
  </si>
  <si>
    <t xml:space="preserve">DEF-02 (fixed)</t>
  </si>
  <si>
    <t xml:space="preserve">NFR11</t>
  </si>
  <si>
    <t xml:space="preserve">NFT-19</t>
  </si>
  <si>
    <t xml:space="preserve">New user completes key tasks within 15 minutes</t>
  </si>
  <si>
    <t xml:space="preserve">Task time with real first-time users</t>
  </si>
  <si>
    <t xml:space="preserve">PDF NFR10</t>
  </si>
  <si>
    <t xml:space="preserve">Moderated usability session with 5 new students</t>
  </si>
  <si>
    <t xml:space="preserve">Key tasks &lt; 15 min</t>
  </si>
  <si>
    <t xml:space="preserve">Not executed: Needs a moderated session with real first-time users; automated scripts cannot measure human learning time.</t>
  </si>
  <si>
    <t xml:space="preserve">Not Run</t>
  </si>
  <si>
    <t xml:space="preserve">Not executed</t>
  </si>
  <si>
    <t xml:space="preserve">NFT-20</t>
  </si>
  <si>
    <t xml:space="preserve">Reliability</t>
  </si>
  <si>
    <t xml:space="preserve">Error handling</t>
  </si>
  <si>
    <t xml:space="preserve">Correct 404/405/422 JSON errors, no stack traces</t>
  </si>
  <si>
    <t xml:space="preserve">pytest: missing record, malformed JSON, bad types, unknown route</t>
  </si>
  <si>
    <t xml:space="preserve">Clean JSON errors</t>
  </si>
  <si>
    <t xml:space="preserve">API: missing record -&gt; 404; malformed JSON -&gt; 422; bad query type -&gt; 422; unknown route -&gt; 404; wrong method -&gt; 405; JSON error bodies, no stack traces; /api/health reports DB status</t>
  </si>
  <si>
    <t xml:space="preserve">NFR08</t>
  </si>
  <si>
    <t xml:space="preserve">NFT-21</t>
  </si>
  <si>
    <t xml:space="preserve">Data integrity</t>
  </si>
  <si>
    <t xml:space="preserve">Duplicate submissions and race conditions</t>
  </si>
  <si>
    <t xml:space="preserve">1 record for 5 parallel identical submits; 1 carrier wins</t>
  </si>
  <si>
    <t xml:space="preserve">PDF NFR13</t>
  </si>
  <si>
    <t xml:space="preserve">pytest: 5 parallel complaint POSTs; 4 parallel carrier accepts</t>
  </si>
  <si>
    <t xml:space="preserve">No duplicates</t>
  </si>
  <si>
    <t xml:space="preserve">API: 5 parallel identical complaint submissions -&gt; codes [201, 409, 409, 409, 409], 1 stored; 4 parallel carrier accepts -&gt; codes [200, 409, 409, 409], carrier recorded once</t>
  </si>
  <si>
    <t xml:space="preserve">DEF-01 (fixed)</t>
  </si>
  <si>
    <t xml:space="preserve">NFR13</t>
  </si>
  <si>
    <t xml:space="preserve">NFT-22</t>
  </si>
  <si>
    <t xml:space="preserve">Persistence after server restart</t>
  </si>
  <si>
    <t xml:space="preserve">Record readable after restart</t>
  </si>
  <si>
    <t xml:space="preserve">Create complaint, restart API process, read it back</t>
  </si>
  <si>
    <t xml:space="preserve">Identical data</t>
  </si>
  <si>
    <t xml:space="preserve">Complaint CMP-00258 created, API server stopped and restarted, record read back with HTTP 200 and identical data</t>
  </si>
  <si>
    <t xml:space="preserve">NFT-23</t>
  </si>
  <si>
    <t xml:space="preserve">Auditability</t>
  </si>
  <si>
    <t xml:space="preserve">Audit trail and status consistency</t>
  </si>
  <si>
    <t xml:space="preserve">All critical actions logged with user + timestamp</t>
  </si>
  <si>
    <t xml:space="preserve">PDF NFR12</t>
  </si>
  <si>
    <t xml:space="preserve">pytest: perform approvals, SOS, deliveries; inspect audit_logs</t>
  </si>
  <si>
    <t xml:space="preserve">All present</t>
  </si>
  <si>
    <t xml:space="preserve">API: Complaint statuses ['CLOSED', 'ESCALATED', 'IN_PROGRESS', 'OPEN', 'RESOLVED'] all valid with matching timestamps; all 10 critical actions present in the audit log with user ID and timestamp</t>
  </si>
  <si>
    <t xml:space="preserve">NFR12</t>
  </si>
  <si>
    <t xml:space="preserve">NFT-24</t>
  </si>
  <si>
    <t xml:space="preserve">Backup &amp; recovery</t>
  </si>
  <si>
    <t xml:space="preserve">Backup and restore</t>
  </si>
  <si>
    <t xml:space="preserve">Restore &lt; 2 h with identical row counts</t>
  </si>
  <si>
    <t xml:space="preserve">PDF NFR09</t>
  </si>
  <si>
    <t xml:space="preserve">pg_dump of loaded DB, pg_restore into new DB, compare 8 tables</t>
  </si>
  <si>
    <t xml:space="preserve">Counts identical</t>
  </si>
  <si>
    <t xml:space="preserve">pg_dump 0.8 MB in 0.2 s; restore into a new database in 0.4 s (target &lt; 2 h); row counts of 8 tables identical (e.g. complaints 20,258). Daily scheduling is a deployment task (scripts/backup_db.sh + cron) and was not run here</t>
  </si>
  <si>
    <t xml:space="preserve">scripts/backup_db.sh, scripts/restore_db.sh</t>
  </si>
  <si>
    <t xml:space="preserve">NFR09</t>
  </si>
  <si>
    <t xml:space="preserve">NFT-25</t>
  </si>
  <si>
    <t xml:space="preserve">Error rate across all load tests</t>
  </si>
  <si>
    <t xml:space="preserve">&lt; 0.5 % failed requests</t>
  </si>
  <si>
    <t xml:space="preserve">PDF NFR08</t>
  </si>
  <si>
    <t xml:space="preserve">Aggregate of the k6 runs at 50, 150 and 300 users</t>
  </si>
  <si>
    <t xml:space="preserve">&lt; 0.5 %</t>
  </si>
  <si>
    <t xml:space="preserve">0 failed of 35,598 requests across 3 load runs = 0.000 %</t>
  </si>
  <si>
    <t xml:space="preserve">NFT-26</t>
  </si>
  <si>
    <t xml:space="preserve">Compatibility</t>
  </si>
  <si>
    <t xml:space="preserve">Chromium desktop browser</t>
  </si>
  <si>
    <t xml:space="preserve">All E2E tests pass</t>
  </si>
  <si>
    <t xml:space="preserve">PDF NFR11</t>
  </si>
  <si>
    <t xml:space="preserve">Playwright Chromium 141 at 1366x850</t>
  </si>
  <si>
    <t xml:space="preserve">All pass</t>
  </si>
  <si>
    <t xml:space="preserve">Chromium 141.0.7390.37: 21/21 desktop E2E tests passed</t>
  </si>
  <si>
    <t xml:space="preserve">NFT-27</t>
  </si>
  <si>
    <t xml:space="preserve">Firefox desktop browser</t>
  </si>
  <si>
    <t xml:space="preserve">Smoke test passes</t>
  </si>
  <si>
    <t xml:space="preserve">Playwright Firefox project (ALL_BROWSERS=1)</t>
  </si>
  <si>
    <t xml:space="preserve">Not executed – firefox-desktop: Error: browserType.launch: Executable doesn't exist at /opt/pw-browsers/firefox-1495/firefox/firefox</t>
  </si>
  <si>
    <t xml:space="preserve">Blocked</t>
  </si>
  <si>
    <t xml:space="preserve">DEF-06</t>
  </si>
  <si>
    <t xml:space="preserve">NFT-28</t>
  </si>
  <si>
    <t xml:space="preserve">Safari / WebKit browser</t>
  </si>
  <si>
    <t xml:space="preserve">Playwright WebKit project (ALL_BROWSERS=1)</t>
  </si>
  <si>
    <t xml:space="preserve">Not executed – webkit-desktop: Error: browserType.launch: Executable doesn't exist at /opt/pw-browsers/webkit-2215/pw_run.sh</t>
  </si>
  <si>
    <t xml:space="preserve">NFT-29</t>
  </si>
  <si>
    <t xml:space="preserve">Mobile viewports</t>
  </si>
  <si>
    <t xml:space="preserve">Login, menu, SOS and forms work on phone screens</t>
  </si>
  <si>
    <t xml:space="preserve">Playwright Chromium emulating Pixel 5 and iPhone 12</t>
  </si>
  <si>
    <t xml:space="preserve">Pass, no overflow</t>
  </si>
  <si>
    <t xml:space="preserve">UI: mobile-pixel5 (393x727, touch): login, hamburger menu, SOS button and complaint dialog work; no horizontal overflow
UI: mobile-iphone12-chromium (390x664, touch): login, hamburger menu, SOS button and complaint dialog work; no horizontal overflow</t>
  </si>
  <si>
    <t xml:space="preserve">NFT-30</t>
  </si>
  <si>
    <t xml:space="preserve">Maintainability</t>
  </si>
  <si>
    <t xml:space="preserve">Linting and type checking</t>
  </si>
  <si>
    <t xml:space="preserve">0 lint errors, 0 type errors</t>
  </si>
  <si>
    <t xml:space="preserve">ESLint, TypeScript strict, Ruff</t>
  </si>
  <si>
    <t xml:space="preserve">Clean</t>
  </si>
  <si>
    <t xml:space="preserve">ESLint: 0 errors, 0 warnings in 46 files; TypeScript strict: 0 errors; Ruff (Python): 0 issues</t>
  </si>
  <si>
    <t xml:space="preserve">eslint.config.js, tsconfig.json, backend/ruff.toml</t>
  </si>
  <si>
    <t xml:space="preserve">NFR14</t>
  </si>
  <si>
    <t xml:space="preserve">NFT-31</t>
  </si>
  <si>
    <t xml:space="preserve">Production build</t>
  </si>
  <si>
    <t xml:space="preserve">Build succeeds</t>
  </si>
  <si>
    <t xml:space="preserve">npm run build (Vite)</t>
  </si>
  <si>
    <t xml:space="preserve">Success</t>
  </si>
  <si>
    <t xml:space="preserve">Production build succeeded in 8.5 s; JavaScript bundle 341 KB (uncompressed)</t>
  </si>
  <si>
    <t xml:space="preserve">frontend/dist</t>
  </si>
  <si>
    <t xml:space="preserve">NFT-32</t>
  </si>
  <si>
    <t xml:space="preserve">Portability</t>
  </si>
  <si>
    <t xml:space="preserve">Reproducible setup from scratch</t>
  </si>
  <si>
    <t xml:space="preserve">Fresh DB initialises; all env vars documented</t>
  </si>
  <si>
    <t xml:space="preserve">Create empty DB, run seed, start API, check .env.example</t>
  </si>
  <si>
    <t xml:space="preserve">Healthy app</t>
  </si>
  <si>
    <t xml:space="preserve">Empty database initialised and seeded in 1.6 s (26 tables, 65 users); API health OK on the fresh DB; .env.example covers 15/15 variables read by the code</t>
  </si>
  <si>
    <t xml:space="preserve">backend/app/seed.py, .env.example, Dockerfile</t>
  </si>
  <si>
    <t xml:space="preserve">NFT-33</t>
  </si>
  <si>
    <t xml:space="preserve">Availability</t>
  </si>
  <si>
    <t xml:space="preserve">Monthly uptime</t>
  </si>
  <si>
    <t xml:space="preserve">&gt;= 99.5 % per month</t>
  </si>
  <si>
    <t xml:space="preserve">PDF NFR07</t>
  </si>
  <si>
    <t xml:space="preserve">External uptime monitor on /api/health for 30 days</t>
  </si>
  <si>
    <t xml:space="preserve">&gt;= 99.5 %</t>
  </si>
  <si>
    <t xml:space="preserve">Not executed: Needs a public deployment monitored for 30 days; the app exposes /api/health for an uptime monitor.</t>
  </si>
  <si>
    <t xml:space="preserve">NFR07</t>
  </si>
  <si>
    <t xml:space="preserve">NFT-34</t>
  </si>
  <si>
    <t xml:space="preserve">Data privacy</t>
  </si>
  <si>
    <t xml:space="preserve">Personal data encrypted in transit and at rest</t>
  </si>
  <si>
    <t xml:space="preserve">PII not readable in database; HTTPS</t>
  </si>
  <si>
    <t xml:space="preserve">PDF NFR06</t>
  </si>
  <si>
    <t xml:space="preserve">Inspect stored student/visitor data; check DB TLS</t>
  </si>
  <si>
    <t xml:space="preserve">Encrypted</t>
  </si>
  <si>
    <t xml:space="preserve">Passwords and OTPs are hashed, but student phone numbers, registration numbers and visitor phone numbers are stored as plain text (e.g. phone '984*******'); local PostgreSQL ssl=off. Encryption in transit relies on HTTPS at the hosting provider (HSTS header is sent in production) and could not be verified locally. NFR06 (encrypted at rest) is NOT met by the application</t>
  </si>
  <si>
    <t xml:space="preserve">Defect DEF-04</t>
  </si>
  <si>
    <t xml:space="preserve">DEF-04</t>
  </si>
  <si>
    <t xml:space="preserve">VISTA – Non-Functional Test Cases – Summary</t>
  </si>
  <si>
    <t xml:space="preserve">Total test cases</t>
  </si>
  <si>
    <t xml:space="preserve">Passed</t>
  </si>
  <si>
    <t xml:space="preserve">Failed</t>
  </si>
  <si>
    <t xml:space="preserve">Executed (Pass + Fail)</t>
  </si>
  <si>
    <t xml:space="preserve">Pass percentage</t>
  </si>
  <si>
    <t xml:space="preserve">Pass percentage = Passed ÷ Executed. Executed counts only Pass and Fail; Blocked and Not Run are shown separately.</t>
  </si>
  <si>
    <t xml:space="preserve">Run</t>
  </si>
  <si>
    <t xml:space="preserve">Concurrent users</t>
  </si>
  <si>
    <t xml:space="preserve">Duration</t>
  </si>
  <si>
    <t xml:space="preserve">Requests</t>
  </si>
  <si>
    <t xml:space="preserve">Throughput (req/s)</t>
  </si>
  <si>
    <t xml:space="preserve">Failed rate</t>
  </si>
  <si>
    <t xml:space="preserve">Avg ms</t>
  </si>
  <si>
    <t xml:space="preserve">Median ms</t>
  </si>
  <si>
    <t xml:space="preserve">p95 ms</t>
  </si>
  <si>
    <t xml:space="preserve">p99 ms</t>
  </si>
  <si>
    <t xml:space="preserve">Max ms</t>
  </si>
  <si>
    <t xml:space="preserve">normal-50vus</t>
  </si>
  <si>
    <t xml:space="preserve">60s</t>
  </si>
  <si>
    <t xml:space="preserve">background-sos</t>
  </si>
  <si>
    <t xml:space="preserve">40s</t>
  </si>
  <si>
    <t xml:space="preserve">peak-150vus</t>
  </si>
  <si>
    <t xml:space="preserve">peak-300vus</t>
  </si>
</sst>
</file>

<file path=xl/styles.xml><?xml version="1.0" encoding="utf-8"?>
<styleSheet xmlns="http://schemas.openxmlformats.org/spreadsheetml/2006/main">
  <numFmts count="4">
    <numFmt numFmtId="164" formatCode="General"/>
    <numFmt numFmtId="165" formatCode="General"/>
    <numFmt numFmtId="166" formatCode="0.0%"/>
    <numFmt numFmtId="167" formatCode="0.00%"/>
  </numFmts>
  <fonts count="12">
    <font>
      <sz val="11"/>
      <color theme="1"/>
      <name val="Calibri"/>
      <family val="2"/>
      <charset val="1"/>
    </font>
    <font>
      <sz val="10"/>
      <name val="Arial"/>
      <family val="0"/>
    </font>
    <font>
      <sz val="10"/>
      <name val="Arial"/>
      <family val="0"/>
    </font>
    <font>
      <sz val="10"/>
      <name val="Arial"/>
      <family val="0"/>
    </font>
    <font>
      <b val="true"/>
      <sz val="14"/>
      <color rgb="FF1B3A6B"/>
      <name val="Arial"/>
      <family val="0"/>
      <charset val="1"/>
    </font>
    <font>
      <i val="true"/>
      <sz val="9"/>
      <color rgb="FF5B6475"/>
      <name val="Arial"/>
      <family val="0"/>
      <charset val="1"/>
    </font>
    <font>
      <b val="true"/>
      <sz val="10"/>
      <color rgb="FFFFFFFF"/>
      <name val="Arial"/>
      <family val="0"/>
      <charset val="1"/>
    </font>
    <font>
      <b val="true"/>
      <sz val="9"/>
      <name val="Arial"/>
      <family val="0"/>
      <charset val="1"/>
    </font>
    <font>
      <sz val="9"/>
      <name val="Arial"/>
      <family val="0"/>
      <charset val="1"/>
    </font>
    <font>
      <b val="true"/>
      <sz val="13"/>
      <color rgb="FF1B3A6B"/>
      <name val="Arial"/>
      <family val="0"/>
      <charset val="1"/>
    </font>
    <font>
      <b val="true"/>
      <sz val="10"/>
      <name val="Arial"/>
      <family val="0"/>
      <charset val="1"/>
    </font>
    <font>
      <sz val="10"/>
      <name val="Arial"/>
      <family val="0"/>
      <charset val="1"/>
    </font>
  </fonts>
  <fills count="3">
    <fill>
      <patternFill patternType="none"/>
    </fill>
    <fill>
      <patternFill patternType="gray125"/>
    </fill>
    <fill>
      <patternFill patternType="solid">
        <fgColor rgb="FF1B3A6B"/>
        <bgColor rgb="FF333399"/>
      </patternFill>
    </fill>
  </fills>
  <borders count="2">
    <border diagonalUp="false" diagonalDown="false">
      <left/>
      <right/>
      <top/>
      <bottom/>
      <diagonal/>
    </border>
    <border diagonalUp="false" diagonalDown="false">
      <left style="thin">
        <color rgb="FFB9C7DD"/>
      </left>
      <right style="thin">
        <color rgb="FFB9C7DD"/>
      </right>
      <top style="thin">
        <color rgb="FFB9C7DD"/>
      </top>
      <bottom style="thin">
        <color rgb="FFB9C7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B3A6B"/>
          <bgColor rgb="FF000000"/>
        </patternFill>
      </fill>
    </dxf>
    <dxf>
      <fill>
        <patternFill patternType="solid">
          <bgColor rgb="FF000000"/>
        </patternFill>
      </fill>
    </dxf>
    <dxf>
      <fill>
        <patternFill patternType="solid">
          <fgColor rgb="FFFFFFFF"/>
          <bgColor rgb="FF000000"/>
        </patternFill>
      </fill>
    </dxf>
    <dxf>
      <fill>
        <patternFill patternType="solid">
          <fgColor rgb="FFE2F3E5"/>
          <bgColor rgb="FF000000"/>
        </patternFill>
      </fill>
    </dxf>
    <dxf>
      <fill>
        <patternFill patternType="solid">
          <fgColor rgb="FFECEEF2"/>
          <bgColor rgb="FF000000"/>
        </patternFill>
      </fill>
    </dxf>
    <dxf>
      <fill>
        <patternFill patternType="solid">
          <fgColor rgb="FFFDE3E1"/>
          <bgColor rgb="FF000000"/>
        </patternFill>
      </fill>
    </dxf>
    <dxf>
      <fill>
        <patternFill patternType="solid">
          <fgColor rgb="FF1E7B34"/>
          <bgColor rgb="FF000000"/>
        </patternFill>
      </fill>
    </dxf>
    <dxf>
      <fill>
        <patternFill patternType="solid">
          <fgColor rgb="FF4B5563"/>
          <bgColor rgb="FF000000"/>
        </patternFill>
      </fill>
    </dxf>
    <dxf>
      <fill>
        <patternFill patternType="solid">
          <fgColor rgb="FFB42318"/>
          <bgColor rgb="FF000000"/>
        </patternFill>
      </fill>
    </dxf>
    <dxf>
      <font>
        <name val="Arial"/>
        <charset val="1"/>
        <family val="0"/>
        <b val="1"/>
        <color rgb="FF1E7B34"/>
      </font>
      <fill>
        <patternFill>
          <bgColor rgb="FFE2F3E5"/>
        </patternFill>
      </fill>
    </dxf>
    <dxf>
      <font>
        <name val="Arial"/>
        <charset val="1"/>
        <family val="0"/>
        <b val="1"/>
        <color rgb="FFB42318"/>
      </font>
      <fill>
        <patternFill>
          <bgColor rgb="FFFDE3E1"/>
        </patternFill>
      </fill>
    </dxf>
    <dxf>
      <font>
        <name val="Arial"/>
        <charset val="1"/>
        <family val="0"/>
        <b val="1"/>
        <color rgb="FF4B5563"/>
      </font>
      <fill>
        <patternFill>
          <bgColor rgb="FFECEEF2"/>
        </patternFill>
      </fill>
    </dxf>
  </dxfs>
  <colors>
    <indexedColors>
      <rgbColor rgb="FF000000"/>
      <rgbColor rgb="FFFFFFFF"/>
      <rgbColor rgb="FFFF0000"/>
      <rgbColor rgb="FF00FF00"/>
      <rgbColor rgb="FF0000FF"/>
      <rgbColor rgb="FFFFFF00"/>
      <rgbColor rgb="FFFF00FF"/>
      <rgbColor rgb="FF00FFFF"/>
      <rgbColor rgb="FF800000"/>
      <rgbColor rgb="FF1E7B34"/>
      <rgbColor rgb="FF000080"/>
      <rgbColor rgb="FF808000"/>
      <rgbColor rgb="FF800080"/>
      <rgbColor rgb="FF008080"/>
      <rgbColor rgb="FFB9C7DD"/>
      <rgbColor rgb="FF808080"/>
      <rgbColor rgb="FF9999FF"/>
      <rgbColor rgb="FF993366"/>
      <rgbColor rgb="FFECEE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3E5"/>
      <rgbColor rgb="FFFFFF99"/>
      <rgbColor rgb="FF99CCFF"/>
      <rgbColor rgb="FFFF99CC"/>
      <rgbColor rgb="FFCC99FF"/>
      <rgbColor rgb="FFFDE3E1"/>
      <rgbColor rgb="FF3366FF"/>
      <rgbColor rgb="FF33CCCC"/>
      <rgbColor rgb="FF99CC00"/>
      <rgbColor rgb="FFFFCC00"/>
      <rgbColor rgb="FFFF9900"/>
      <rgbColor rgb="FFFF6600"/>
      <rgbColor rgb="FF5B6475"/>
      <rgbColor rgb="FF969696"/>
      <rgbColor rgb="FF1B3A6B"/>
      <rgbColor rgb="FF339966"/>
      <rgbColor rgb="FF003300"/>
      <rgbColor rgb="FF333300"/>
      <rgbColor rgb="FFB42318"/>
      <rgbColor rgb="FF993366"/>
      <rgbColor rgb="FF333399"/>
      <rgbColor rgb="FF4B55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8"/>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4" min="3" style="0" width="32"/>
    <col collapsed="false" customWidth="true" hidden="false" outlineLevel="0" max="5" min="5" style="0" width="16"/>
    <col collapsed="false" customWidth="true" hidden="false" outlineLevel="0" max="6" min="6" style="0" width="40"/>
    <col collapsed="false" customWidth="true" hidden="false" outlineLevel="0" max="7" min="7" style="0" width="26"/>
    <col collapsed="false" customWidth="true" hidden="false" outlineLevel="0" max="8" min="8" style="0" width="75"/>
    <col collapsed="false" customWidth="true" hidden="false" outlineLevel="0" max="9" min="9" style="0" width="10"/>
    <col collapsed="false" customWidth="true" hidden="false" outlineLevel="0" max="10" min="10" style="0" width="28"/>
    <col collapsed="false" customWidth="true" hidden="false" outlineLevel="0" max="13" min="11"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23.85"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c r="M4" s="3" t="s">
        <v>14</v>
      </c>
    </row>
    <row r="5" customFormat="false" ht="22.35" hidden="false" customHeight="false" outlineLevel="0" collapsed="false">
      <c r="A5" s="4" t="s">
        <v>15</v>
      </c>
      <c r="B5" s="5" t="s">
        <v>16</v>
      </c>
      <c r="C5" s="5" t="s">
        <v>17</v>
      </c>
      <c r="D5" s="5" t="s">
        <v>18</v>
      </c>
      <c r="E5" s="5" t="s">
        <v>19</v>
      </c>
      <c r="F5" s="5" t="s">
        <v>20</v>
      </c>
      <c r="G5" s="5" t="s">
        <v>21</v>
      </c>
      <c r="H5" s="5" t="s">
        <v>22</v>
      </c>
      <c r="I5" s="5" t="s">
        <v>23</v>
      </c>
      <c r="J5" s="5" t="s">
        <v>24</v>
      </c>
      <c r="K5" s="5"/>
      <c r="L5" s="5" t="s">
        <v>25</v>
      </c>
      <c r="M5" s="5" t="s">
        <v>26</v>
      </c>
    </row>
    <row r="6" customFormat="false" ht="22.35" hidden="false" customHeight="false" outlineLevel="0" collapsed="false">
      <c r="A6" s="4" t="s">
        <v>27</v>
      </c>
      <c r="B6" s="5" t="s">
        <v>16</v>
      </c>
      <c r="C6" s="5" t="s">
        <v>28</v>
      </c>
      <c r="D6" s="5" t="s">
        <v>29</v>
      </c>
      <c r="E6" s="5" t="s">
        <v>30</v>
      </c>
      <c r="F6" s="5" t="s">
        <v>31</v>
      </c>
      <c r="G6" s="5" t="s">
        <v>32</v>
      </c>
      <c r="H6" s="5" t="s">
        <v>33</v>
      </c>
      <c r="I6" s="5" t="s">
        <v>23</v>
      </c>
      <c r="J6" s="5" t="s">
        <v>34</v>
      </c>
      <c r="K6" s="5" t="s">
        <v>35</v>
      </c>
      <c r="L6" s="5" t="s">
        <v>36</v>
      </c>
      <c r="M6" s="5" t="s">
        <v>26</v>
      </c>
    </row>
    <row r="7" customFormat="false" ht="22.35" hidden="false" customHeight="false" outlineLevel="0" collapsed="false">
      <c r="A7" s="4" t="s">
        <v>37</v>
      </c>
      <c r="B7" s="5" t="s">
        <v>16</v>
      </c>
      <c r="C7" s="5" t="s">
        <v>38</v>
      </c>
      <c r="D7" s="5" t="s">
        <v>39</v>
      </c>
      <c r="E7" s="5" t="s">
        <v>40</v>
      </c>
      <c r="F7" s="5" t="s">
        <v>41</v>
      </c>
      <c r="G7" s="5" t="s">
        <v>42</v>
      </c>
      <c r="H7" s="5" t="s">
        <v>43</v>
      </c>
      <c r="I7" s="5" t="s">
        <v>23</v>
      </c>
      <c r="J7" s="5" t="s">
        <v>44</v>
      </c>
      <c r="K7" s="5"/>
      <c r="L7" s="5" t="s">
        <v>25</v>
      </c>
      <c r="M7" s="5" t="s">
        <v>26</v>
      </c>
    </row>
    <row r="8" customFormat="false" ht="22.35" hidden="false" customHeight="false" outlineLevel="0" collapsed="false">
      <c r="A8" s="4" t="s">
        <v>45</v>
      </c>
      <c r="B8" s="5" t="s">
        <v>46</v>
      </c>
      <c r="C8" s="5" t="s">
        <v>47</v>
      </c>
      <c r="D8" s="5" t="s">
        <v>48</v>
      </c>
      <c r="E8" s="5" t="s">
        <v>49</v>
      </c>
      <c r="F8" s="5" t="s">
        <v>50</v>
      </c>
      <c r="G8" s="5" t="s">
        <v>51</v>
      </c>
      <c r="H8" s="5" t="s">
        <v>52</v>
      </c>
      <c r="I8" s="5" t="s">
        <v>23</v>
      </c>
      <c r="J8" s="5" t="s">
        <v>53</v>
      </c>
      <c r="K8" s="5"/>
      <c r="L8" s="5" t="s">
        <v>54</v>
      </c>
      <c r="M8" s="5" t="s">
        <v>26</v>
      </c>
    </row>
    <row r="9" customFormat="false" ht="32.8" hidden="false" customHeight="false" outlineLevel="0" collapsed="false">
      <c r="A9" s="4" t="s">
        <v>55</v>
      </c>
      <c r="B9" s="5" t="s">
        <v>16</v>
      </c>
      <c r="C9" s="5" t="s">
        <v>56</v>
      </c>
      <c r="D9" s="5" t="s">
        <v>57</v>
      </c>
      <c r="E9" s="5" t="s">
        <v>40</v>
      </c>
      <c r="F9" s="5" t="s">
        <v>58</v>
      </c>
      <c r="G9" s="5" t="s">
        <v>59</v>
      </c>
      <c r="H9" s="5" t="s">
        <v>60</v>
      </c>
      <c r="I9" s="5" t="s">
        <v>23</v>
      </c>
      <c r="J9" s="5" t="s">
        <v>53</v>
      </c>
      <c r="K9" s="5"/>
      <c r="L9" s="5" t="s">
        <v>61</v>
      </c>
      <c r="M9" s="5" t="s">
        <v>26</v>
      </c>
    </row>
    <row r="10" customFormat="false" ht="22.35" hidden="false" customHeight="false" outlineLevel="0" collapsed="false">
      <c r="A10" s="4" t="s">
        <v>62</v>
      </c>
      <c r="B10" s="5" t="s">
        <v>63</v>
      </c>
      <c r="C10" s="5" t="s">
        <v>64</v>
      </c>
      <c r="D10" s="5" t="s">
        <v>65</v>
      </c>
      <c r="E10" s="5" t="s">
        <v>66</v>
      </c>
      <c r="F10" s="5" t="s">
        <v>67</v>
      </c>
      <c r="G10" s="5" t="s">
        <v>68</v>
      </c>
      <c r="H10" s="5" t="s">
        <v>69</v>
      </c>
      <c r="I10" s="5" t="s">
        <v>70</v>
      </c>
      <c r="J10" s="5" t="s">
        <v>71</v>
      </c>
      <c r="K10" s="5" t="s">
        <v>72</v>
      </c>
      <c r="L10" s="5" t="s">
        <v>73</v>
      </c>
      <c r="M10" s="5" t="s">
        <v>26</v>
      </c>
    </row>
    <row r="11" customFormat="false" ht="22.35" hidden="false" customHeight="false" outlineLevel="0" collapsed="false">
      <c r="A11" s="4" t="s">
        <v>74</v>
      </c>
      <c r="B11" s="5" t="s">
        <v>75</v>
      </c>
      <c r="C11" s="5" t="s">
        <v>76</v>
      </c>
      <c r="D11" s="5" t="s">
        <v>77</v>
      </c>
      <c r="E11" s="5" t="s">
        <v>40</v>
      </c>
      <c r="F11" s="5" t="s">
        <v>78</v>
      </c>
      <c r="G11" s="5" t="s">
        <v>79</v>
      </c>
      <c r="H11" s="5" t="s">
        <v>80</v>
      </c>
      <c r="I11" s="5" t="s">
        <v>23</v>
      </c>
      <c r="J11" s="5" t="s">
        <v>81</v>
      </c>
      <c r="K11" s="5"/>
      <c r="L11" s="5" t="s">
        <v>82</v>
      </c>
      <c r="M11" s="5" t="s">
        <v>26</v>
      </c>
    </row>
    <row r="12" customFormat="false" ht="22.35" hidden="false" customHeight="false" outlineLevel="0" collapsed="false">
      <c r="A12" s="4" t="s">
        <v>83</v>
      </c>
      <c r="B12" s="5" t="s">
        <v>75</v>
      </c>
      <c r="C12" s="5" t="s">
        <v>84</v>
      </c>
      <c r="D12" s="5" t="s">
        <v>85</v>
      </c>
      <c r="E12" s="5" t="s">
        <v>86</v>
      </c>
      <c r="F12" s="5" t="s">
        <v>87</v>
      </c>
      <c r="G12" s="5" t="s">
        <v>88</v>
      </c>
      <c r="H12" s="5" t="s">
        <v>89</v>
      </c>
      <c r="I12" s="5" t="s">
        <v>23</v>
      </c>
      <c r="J12" s="5" t="s">
        <v>81</v>
      </c>
      <c r="K12" s="5"/>
      <c r="L12" s="5" t="s">
        <v>82</v>
      </c>
      <c r="M12" s="5" t="s">
        <v>26</v>
      </c>
    </row>
    <row r="13" customFormat="false" ht="22.35" hidden="false" customHeight="false" outlineLevel="0" collapsed="false">
      <c r="A13" s="4" t="s">
        <v>90</v>
      </c>
      <c r="B13" s="5" t="s">
        <v>75</v>
      </c>
      <c r="C13" s="5" t="s">
        <v>91</v>
      </c>
      <c r="D13" s="5" t="s">
        <v>92</v>
      </c>
      <c r="E13" s="5" t="s">
        <v>40</v>
      </c>
      <c r="F13" s="5" t="s">
        <v>93</v>
      </c>
      <c r="G13" s="5" t="s">
        <v>94</v>
      </c>
      <c r="H13" s="5" t="s">
        <v>95</v>
      </c>
      <c r="I13" s="5" t="s">
        <v>23</v>
      </c>
      <c r="J13" s="5" t="s">
        <v>81</v>
      </c>
      <c r="K13" s="5"/>
      <c r="L13" s="5" t="s">
        <v>82</v>
      </c>
      <c r="M13" s="5" t="s">
        <v>26</v>
      </c>
    </row>
    <row r="14" customFormat="false" ht="22.35" hidden="false" customHeight="false" outlineLevel="0" collapsed="false">
      <c r="A14" s="4" t="s">
        <v>96</v>
      </c>
      <c r="B14" s="5" t="s">
        <v>75</v>
      </c>
      <c r="C14" s="5" t="s">
        <v>97</v>
      </c>
      <c r="D14" s="5" t="s">
        <v>98</v>
      </c>
      <c r="E14" s="5" t="s">
        <v>40</v>
      </c>
      <c r="F14" s="5" t="s">
        <v>99</v>
      </c>
      <c r="G14" s="5" t="s">
        <v>100</v>
      </c>
      <c r="H14" s="5" t="s">
        <v>101</v>
      </c>
      <c r="I14" s="5" t="s">
        <v>23</v>
      </c>
      <c r="J14" s="5" t="s">
        <v>44</v>
      </c>
      <c r="K14" s="5" t="s">
        <v>102</v>
      </c>
      <c r="L14" s="5" t="s">
        <v>82</v>
      </c>
      <c r="M14" s="5" t="s">
        <v>26</v>
      </c>
    </row>
    <row r="15" customFormat="false" ht="22.35" hidden="false" customHeight="false" outlineLevel="0" collapsed="false">
      <c r="A15" s="4" t="s">
        <v>103</v>
      </c>
      <c r="B15" s="5" t="s">
        <v>75</v>
      </c>
      <c r="C15" s="5" t="s">
        <v>104</v>
      </c>
      <c r="D15" s="5" t="s">
        <v>105</v>
      </c>
      <c r="E15" s="5" t="s">
        <v>40</v>
      </c>
      <c r="F15" s="5" t="s">
        <v>106</v>
      </c>
      <c r="G15" s="5" t="s">
        <v>79</v>
      </c>
      <c r="H15" s="5" t="s">
        <v>107</v>
      </c>
      <c r="I15" s="5" t="s">
        <v>23</v>
      </c>
      <c r="J15" s="5" t="s">
        <v>81</v>
      </c>
      <c r="K15" s="5"/>
      <c r="L15" s="5" t="s">
        <v>82</v>
      </c>
      <c r="M15" s="5" t="s">
        <v>26</v>
      </c>
    </row>
    <row r="16" customFormat="false" ht="22.35" hidden="false" customHeight="false" outlineLevel="0" collapsed="false">
      <c r="A16" s="4" t="s">
        <v>108</v>
      </c>
      <c r="B16" s="5" t="s">
        <v>75</v>
      </c>
      <c r="C16" s="5" t="s">
        <v>109</v>
      </c>
      <c r="D16" s="5" t="s">
        <v>110</v>
      </c>
      <c r="E16" s="5" t="s">
        <v>111</v>
      </c>
      <c r="F16" s="5" t="s">
        <v>112</v>
      </c>
      <c r="G16" s="5" t="s">
        <v>113</v>
      </c>
      <c r="H16" s="5" t="s">
        <v>114</v>
      </c>
      <c r="I16" s="5" t="s">
        <v>23</v>
      </c>
      <c r="J16" s="5" t="s">
        <v>81</v>
      </c>
      <c r="K16" s="5"/>
      <c r="L16" s="5" t="s">
        <v>115</v>
      </c>
      <c r="M16" s="5" t="s">
        <v>26</v>
      </c>
    </row>
    <row r="17" customFormat="false" ht="22.35" hidden="false" customHeight="false" outlineLevel="0" collapsed="false">
      <c r="A17" s="4" t="s">
        <v>116</v>
      </c>
      <c r="B17" s="5" t="s">
        <v>75</v>
      </c>
      <c r="C17" s="5" t="s">
        <v>117</v>
      </c>
      <c r="D17" s="5" t="s">
        <v>118</v>
      </c>
      <c r="E17" s="5" t="s">
        <v>40</v>
      </c>
      <c r="F17" s="5" t="s">
        <v>119</v>
      </c>
      <c r="G17" s="5" t="s">
        <v>120</v>
      </c>
      <c r="H17" s="5" t="s">
        <v>121</v>
      </c>
      <c r="I17" s="5" t="s">
        <v>23</v>
      </c>
      <c r="J17" s="5" t="s">
        <v>81</v>
      </c>
      <c r="K17" s="5"/>
      <c r="L17" s="5" t="s">
        <v>82</v>
      </c>
      <c r="M17" s="5" t="s">
        <v>26</v>
      </c>
    </row>
    <row r="18" customFormat="false" ht="22.35" hidden="false" customHeight="false" outlineLevel="0" collapsed="false">
      <c r="A18" s="4" t="s">
        <v>122</v>
      </c>
      <c r="B18" s="5" t="s">
        <v>75</v>
      </c>
      <c r="C18" s="5" t="s">
        <v>123</v>
      </c>
      <c r="D18" s="5" t="s">
        <v>124</v>
      </c>
      <c r="E18" s="5" t="s">
        <v>40</v>
      </c>
      <c r="F18" s="5" t="s">
        <v>125</v>
      </c>
      <c r="G18" s="5" t="s">
        <v>126</v>
      </c>
      <c r="H18" s="5" t="s">
        <v>127</v>
      </c>
      <c r="I18" s="5" t="s">
        <v>23</v>
      </c>
      <c r="J18" s="5" t="s">
        <v>81</v>
      </c>
      <c r="K18" s="5"/>
      <c r="L18" s="5" t="s">
        <v>82</v>
      </c>
      <c r="M18" s="5" t="s">
        <v>26</v>
      </c>
    </row>
    <row r="19" customFormat="false" ht="32.8" hidden="false" customHeight="false" outlineLevel="0" collapsed="false">
      <c r="A19" s="4" t="s">
        <v>128</v>
      </c>
      <c r="B19" s="5" t="s">
        <v>129</v>
      </c>
      <c r="C19" s="5" t="s">
        <v>130</v>
      </c>
      <c r="D19" s="5" t="s">
        <v>131</v>
      </c>
      <c r="E19" s="5" t="s">
        <v>40</v>
      </c>
      <c r="F19" s="5" t="s">
        <v>132</v>
      </c>
      <c r="G19" s="5" t="s">
        <v>133</v>
      </c>
      <c r="H19" s="5" t="s">
        <v>134</v>
      </c>
      <c r="I19" s="5" t="s">
        <v>23</v>
      </c>
      <c r="J19" s="5" t="s">
        <v>44</v>
      </c>
      <c r="K19" s="5"/>
      <c r="L19" s="5" t="s">
        <v>135</v>
      </c>
      <c r="M19" s="5" t="s">
        <v>26</v>
      </c>
    </row>
    <row r="20" customFormat="false" ht="22.35" hidden="false" customHeight="false" outlineLevel="0" collapsed="false">
      <c r="A20" s="4" t="s">
        <v>136</v>
      </c>
      <c r="B20" s="5" t="s">
        <v>137</v>
      </c>
      <c r="C20" s="5" t="s">
        <v>138</v>
      </c>
      <c r="D20" s="5" t="s">
        <v>139</v>
      </c>
      <c r="E20" s="5" t="s">
        <v>40</v>
      </c>
      <c r="F20" s="5" t="s">
        <v>140</v>
      </c>
      <c r="G20" s="5" t="s">
        <v>141</v>
      </c>
      <c r="H20" s="5" t="s">
        <v>142</v>
      </c>
      <c r="I20" s="5" t="s">
        <v>23</v>
      </c>
      <c r="J20" s="5" t="s">
        <v>44</v>
      </c>
      <c r="K20" s="5" t="s">
        <v>102</v>
      </c>
      <c r="L20" s="5" t="s">
        <v>135</v>
      </c>
      <c r="M20" s="5" t="s">
        <v>26</v>
      </c>
    </row>
    <row r="21" customFormat="false" ht="22.35" hidden="false" customHeight="false" outlineLevel="0" collapsed="false">
      <c r="A21" s="4" t="s">
        <v>143</v>
      </c>
      <c r="B21" s="5" t="s">
        <v>137</v>
      </c>
      <c r="C21" s="5" t="s">
        <v>144</v>
      </c>
      <c r="D21" s="5" t="s">
        <v>145</v>
      </c>
      <c r="E21" s="5" t="s">
        <v>40</v>
      </c>
      <c r="F21" s="5" t="s">
        <v>146</v>
      </c>
      <c r="G21" s="5" t="s">
        <v>147</v>
      </c>
      <c r="H21" s="5" t="s">
        <v>148</v>
      </c>
      <c r="I21" s="5" t="s">
        <v>23</v>
      </c>
      <c r="J21" s="5" t="s">
        <v>44</v>
      </c>
      <c r="K21" s="5" t="s">
        <v>102</v>
      </c>
      <c r="L21" s="5" t="s">
        <v>135</v>
      </c>
      <c r="M21" s="5" t="s">
        <v>26</v>
      </c>
    </row>
    <row r="22" customFormat="false" ht="22.35" hidden="false" customHeight="false" outlineLevel="0" collapsed="false">
      <c r="A22" s="4" t="s">
        <v>149</v>
      </c>
      <c r="B22" s="5" t="s">
        <v>137</v>
      </c>
      <c r="C22" s="5" t="s">
        <v>150</v>
      </c>
      <c r="D22" s="5" t="s">
        <v>151</v>
      </c>
      <c r="E22" s="5" t="s">
        <v>40</v>
      </c>
      <c r="F22" s="5" t="s">
        <v>152</v>
      </c>
      <c r="G22" s="5" t="s">
        <v>153</v>
      </c>
      <c r="H22" s="5" t="s">
        <v>154</v>
      </c>
      <c r="I22" s="5" t="s">
        <v>23</v>
      </c>
      <c r="J22" s="5" t="s">
        <v>44</v>
      </c>
      <c r="K22" s="5" t="s">
        <v>155</v>
      </c>
      <c r="L22" s="5" t="s">
        <v>156</v>
      </c>
      <c r="M22" s="5" t="s">
        <v>26</v>
      </c>
    </row>
    <row r="23" customFormat="false" ht="22.35" hidden="false" customHeight="false" outlineLevel="0" collapsed="false">
      <c r="A23" s="4" t="s">
        <v>157</v>
      </c>
      <c r="B23" s="5" t="s">
        <v>137</v>
      </c>
      <c r="C23" s="5" t="s">
        <v>158</v>
      </c>
      <c r="D23" s="5" t="s">
        <v>159</v>
      </c>
      <c r="E23" s="5" t="s">
        <v>160</v>
      </c>
      <c r="F23" s="5" t="s">
        <v>161</v>
      </c>
      <c r="G23" s="5" t="s">
        <v>162</v>
      </c>
      <c r="H23" s="5" t="s">
        <v>163</v>
      </c>
      <c r="I23" s="5" t="s">
        <v>164</v>
      </c>
      <c r="J23" s="5"/>
      <c r="K23" s="5"/>
      <c r="L23" s="5" t="s">
        <v>135</v>
      </c>
      <c r="M23" s="5" t="s">
        <v>165</v>
      </c>
    </row>
    <row r="24" customFormat="false" ht="22.35" hidden="false" customHeight="false" outlineLevel="0" collapsed="false">
      <c r="A24" s="4" t="s">
        <v>166</v>
      </c>
      <c r="B24" s="5" t="s">
        <v>167</v>
      </c>
      <c r="C24" s="5" t="s">
        <v>168</v>
      </c>
      <c r="D24" s="5" t="s">
        <v>169</v>
      </c>
      <c r="E24" s="5" t="s">
        <v>40</v>
      </c>
      <c r="F24" s="5" t="s">
        <v>170</v>
      </c>
      <c r="G24" s="5" t="s">
        <v>171</v>
      </c>
      <c r="H24" s="5" t="s">
        <v>172</v>
      </c>
      <c r="I24" s="5" t="s">
        <v>23</v>
      </c>
      <c r="J24" s="5" t="s">
        <v>81</v>
      </c>
      <c r="K24" s="5"/>
      <c r="L24" s="5" t="s">
        <v>173</v>
      </c>
      <c r="M24" s="5" t="s">
        <v>26</v>
      </c>
    </row>
    <row r="25" customFormat="false" ht="22.35" hidden="false" customHeight="false" outlineLevel="0" collapsed="false">
      <c r="A25" s="4" t="s">
        <v>174</v>
      </c>
      <c r="B25" s="5" t="s">
        <v>175</v>
      </c>
      <c r="C25" s="5" t="s">
        <v>176</v>
      </c>
      <c r="D25" s="5" t="s">
        <v>177</v>
      </c>
      <c r="E25" s="5" t="s">
        <v>178</v>
      </c>
      <c r="F25" s="5" t="s">
        <v>179</v>
      </c>
      <c r="G25" s="5" t="s">
        <v>180</v>
      </c>
      <c r="H25" s="5" t="s">
        <v>181</v>
      </c>
      <c r="I25" s="5" t="s">
        <v>23</v>
      </c>
      <c r="J25" s="5" t="s">
        <v>81</v>
      </c>
      <c r="K25" s="5" t="s">
        <v>182</v>
      </c>
      <c r="L25" s="5" t="s">
        <v>183</v>
      </c>
      <c r="M25" s="5" t="s">
        <v>26</v>
      </c>
    </row>
    <row r="26" customFormat="false" ht="22.35" hidden="false" customHeight="false" outlineLevel="0" collapsed="false">
      <c r="A26" s="4" t="s">
        <v>184</v>
      </c>
      <c r="B26" s="5" t="s">
        <v>167</v>
      </c>
      <c r="C26" s="5" t="s">
        <v>185</v>
      </c>
      <c r="D26" s="5" t="s">
        <v>186</v>
      </c>
      <c r="E26" s="5" t="s">
        <v>178</v>
      </c>
      <c r="F26" s="5" t="s">
        <v>187</v>
      </c>
      <c r="G26" s="5" t="s">
        <v>188</v>
      </c>
      <c r="H26" s="5" t="s">
        <v>189</v>
      </c>
      <c r="I26" s="5" t="s">
        <v>23</v>
      </c>
      <c r="J26" s="5" t="s">
        <v>53</v>
      </c>
      <c r="K26" s="5"/>
      <c r="L26" s="5" t="s">
        <v>183</v>
      </c>
      <c r="M26" s="5" t="s">
        <v>26</v>
      </c>
    </row>
    <row r="27" customFormat="false" ht="32.8" hidden="false" customHeight="false" outlineLevel="0" collapsed="false">
      <c r="A27" s="4" t="s">
        <v>190</v>
      </c>
      <c r="B27" s="5" t="s">
        <v>191</v>
      </c>
      <c r="C27" s="5" t="s">
        <v>192</v>
      </c>
      <c r="D27" s="5" t="s">
        <v>193</v>
      </c>
      <c r="E27" s="5" t="s">
        <v>194</v>
      </c>
      <c r="F27" s="5" t="s">
        <v>195</v>
      </c>
      <c r="G27" s="5" t="s">
        <v>196</v>
      </c>
      <c r="H27" s="5" t="s">
        <v>197</v>
      </c>
      <c r="I27" s="5" t="s">
        <v>23</v>
      </c>
      <c r="J27" s="5" t="s">
        <v>81</v>
      </c>
      <c r="K27" s="5" t="s">
        <v>102</v>
      </c>
      <c r="L27" s="5" t="s">
        <v>198</v>
      </c>
      <c r="M27" s="5" t="s">
        <v>26</v>
      </c>
    </row>
    <row r="28" customFormat="false" ht="32.8" hidden="false" customHeight="false" outlineLevel="0" collapsed="false">
      <c r="A28" s="4" t="s">
        <v>199</v>
      </c>
      <c r="B28" s="5" t="s">
        <v>200</v>
      </c>
      <c r="C28" s="5" t="s">
        <v>201</v>
      </c>
      <c r="D28" s="5" t="s">
        <v>202</v>
      </c>
      <c r="E28" s="5" t="s">
        <v>203</v>
      </c>
      <c r="F28" s="5" t="s">
        <v>204</v>
      </c>
      <c r="G28" s="5" t="s">
        <v>205</v>
      </c>
      <c r="H28" s="5" t="s">
        <v>206</v>
      </c>
      <c r="I28" s="5" t="s">
        <v>23</v>
      </c>
      <c r="J28" s="5" t="s">
        <v>207</v>
      </c>
      <c r="K28" s="5"/>
      <c r="L28" s="5" t="s">
        <v>208</v>
      </c>
      <c r="M28" s="5" t="s">
        <v>26</v>
      </c>
    </row>
    <row r="29" customFormat="false" ht="15" hidden="false" customHeight="false" outlineLevel="0" collapsed="false">
      <c r="A29" s="4" t="s">
        <v>209</v>
      </c>
      <c r="B29" s="5" t="s">
        <v>167</v>
      </c>
      <c r="C29" s="5" t="s">
        <v>210</v>
      </c>
      <c r="D29" s="5" t="s">
        <v>211</v>
      </c>
      <c r="E29" s="5" t="s">
        <v>212</v>
      </c>
      <c r="F29" s="5" t="s">
        <v>213</v>
      </c>
      <c r="G29" s="5" t="s">
        <v>214</v>
      </c>
      <c r="H29" s="5" t="s">
        <v>215</v>
      </c>
      <c r="I29" s="5" t="s">
        <v>23</v>
      </c>
      <c r="J29" s="5" t="s">
        <v>71</v>
      </c>
      <c r="K29" s="5"/>
      <c r="L29" s="5" t="s">
        <v>173</v>
      </c>
      <c r="M29" s="5" t="s">
        <v>26</v>
      </c>
    </row>
    <row r="30" customFormat="false" ht="15" hidden="false" customHeight="false" outlineLevel="0" collapsed="false">
      <c r="A30" s="4" t="s">
        <v>216</v>
      </c>
      <c r="B30" s="5" t="s">
        <v>217</v>
      </c>
      <c r="C30" s="5" t="s">
        <v>218</v>
      </c>
      <c r="D30" s="5" t="s">
        <v>219</v>
      </c>
      <c r="E30" s="5" t="s">
        <v>220</v>
      </c>
      <c r="F30" s="5" t="s">
        <v>221</v>
      </c>
      <c r="G30" s="5" t="s">
        <v>222</v>
      </c>
      <c r="H30" s="5" t="s">
        <v>223</v>
      </c>
      <c r="I30" s="5" t="s">
        <v>23</v>
      </c>
      <c r="J30" s="5" t="s">
        <v>44</v>
      </c>
      <c r="K30" s="5"/>
      <c r="L30" s="5" t="s">
        <v>156</v>
      </c>
      <c r="M30" s="5" t="s">
        <v>26</v>
      </c>
    </row>
    <row r="31" customFormat="false" ht="22.35" hidden="false" customHeight="false" outlineLevel="0" collapsed="false">
      <c r="A31" s="4" t="s">
        <v>224</v>
      </c>
      <c r="B31" s="5" t="s">
        <v>217</v>
      </c>
      <c r="C31" s="5" t="s">
        <v>225</v>
      </c>
      <c r="D31" s="5" t="s">
        <v>226</v>
      </c>
      <c r="E31" s="5" t="s">
        <v>220</v>
      </c>
      <c r="F31" s="5" t="s">
        <v>227</v>
      </c>
      <c r="G31" s="5" t="s">
        <v>23</v>
      </c>
      <c r="H31" s="5" t="s">
        <v>228</v>
      </c>
      <c r="I31" s="5" t="s">
        <v>229</v>
      </c>
      <c r="J31" s="5" t="s">
        <v>44</v>
      </c>
      <c r="K31" s="5" t="s">
        <v>230</v>
      </c>
      <c r="L31" s="5" t="s">
        <v>156</v>
      </c>
      <c r="M31" s="5" t="s">
        <v>165</v>
      </c>
    </row>
    <row r="32" customFormat="false" ht="22.35" hidden="false" customHeight="false" outlineLevel="0" collapsed="false">
      <c r="A32" s="4" t="s">
        <v>231</v>
      </c>
      <c r="B32" s="5" t="s">
        <v>217</v>
      </c>
      <c r="C32" s="5" t="s">
        <v>232</v>
      </c>
      <c r="D32" s="5" t="s">
        <v>226</v>
      </c>
      <c r="E32" s="5" t="s">
        <v>220</v>
      </c>
      <c r="F32" s="5" t="s">
        <v>233</v>
      </c>
      <c r="G32" s="5" t="s">
        <v>23</v>
      </c>
      <c r="H32" s="5" t="s">
        <v>234</v>
      </c>
      <c r="I32" s="5" t="s">
        <v>229</v>
      </c>
      <c r="J32" s="5" t="s">
        <v>44</v>
      </c>
      <c r="K32" s="5" t="s">
        <v>230</v>
      </c>
      <c r="L32" s="5" t="s">
        <v>156</v>
      </c>
      <c r="M32" s="5" t="s">
        <v>165</v>
      </c>
    </row>
    <row r="33" customFormat="false" ht="43.25" hidden="false" customHeight="false" outlineLevel="0" collapsed="false">
      <c r="A33" s="4" t="s">
        <v>235</v>
      </c>
      <c r="B33" s="5" t="s">
        <v>217</v>
      </c>
      <c r="C33" s="5" t="s">
        <v>236</v>
      </c>
      <c r="D33" s="5" t="s">
        <v>237</v>
      </c>
      <c r="E33" s="5" t="s">
        <v>220</v>
      </c>
      <c r="F33" s="5" t="s">
        <v>238</v>
      </c>
      <c r="G33" s="5" t="s">
        <v>239</v>
      </c>
      <c r="H33" s="5" t="s">
        <v>240</v>
      </c>
      <c r="I33" s="5" t="s">
        <v>23</v>
      </c>
      <c r="J33" s="5" t="s">
        <v>44</v>
      </c>
      <c r="K33" s="5"/>
      <c r="L33" s="5" t="s">
        <v>156</v>
      </c>
      <c r="M33" s="5" t="s">
        <v>26</v>
      </c>
    </row>
    <row r="34" customFormat="false" ht="22.35" hidden="false" customHeight="false" outlineLevel="0" collapsed="false">
      <c r="A34" s="4" t="s">
        <v>241</v>
      </c>
      <c r="B34" s="5" t="s">
        <v>242</v>
      </c>
      <c r="C34" s="5" t="s">
        <v>243</v>
      </c>
      <c r="D34" s="5" t="s">
        <v>244</v>
      </c>
      <c r="E34" s="5" t="s">
        <v>40</v>
      </c>
      <c r="F34" s="5" t="s">
        <v>245</v>
      </c>
      <c r="G34" s="5" t="s">
        <v>246</v>
      </c>
      <c r="H34" s="5" t="s">
        <v>247</v>
      </c>
      <c r="I34" s="5" t="s">
        <v>23</v>
      </c>
      <c r="J34" s="5" t="s">
        <v>248</v>
      </c>
      <c r="K34" s="5"/>
      <c r="L34" s="5" t="s">
        <v>249</v>
      </c>
      <c r="M34" s="5" t="s">
        <v>26</v>
      </c>
    </row>
    <row r="35" customFormat="false" ht="15" hidden="false" customHeight="false" outlineLevel="0" collapsed="false">
      <c r="A35" s="4" t="s">
        <v>250</v>
      </c>
      <c r="B35" s="5" t="s">
        <v>242</v>
      </c>
      <c r="C35" s="5" t="s">
        <v>251</v>
      </c>
      <c r="D35" s="5" t="s">
        <v>252</v>
      </c>
      <c r="E35" s="5" t="s">
        <v>40</v>
      </c>
      <c r="F35" s="5" t="s">
        <v>253</v>
      </c>
      <c r="G35" s="5" t="s">
        <v>254</v>
      </c>
      <c r="H35" s="5" t="s">
        <v>255</v>
      </c>
      <c r="I35" s="5" t="s">
        <v>23</v>
      </c>
      <c r="J35" s="5" t="s">
        <v>256</v>
      </c>
      <c r="K35" s="5"/>
      <c r="L35" s="5" t="s">
        <v>249</v>
      </c>
      <c r="M35" s="5" t="s">
        <v>26</v>
      </c>
    </row>
    <row r="36" customFormat="false" ht="22.35" hidden="false" customHeight="false" outlineLevel="0" collapsed="false">
      <c r="A36" s="4" t="s">
        <v>257</v>
      </c>
      <c r="B36" s="5" t="s">
        <v>258</v>
      </c>
      <c r="C36" s="5" t="s">
        <v>259</v>
      </c>
      <c r="D36" s="5" t="s">
        <v>260</v>
      </c>
      <c r="E36" s="5" t="s">
        <v>40</v>
      </c>
      <c r="F36" s="5" t="s">
        <v>261</v>
      </c>
      <c r="G36" s="5" t="s">
        <v>262</v>
      </c>
      <c r="H36" s="5" t="s">
        <v>263</v>
      </c>
      <c r="I36" s="5" t="s">
        <v>23</v>
      </c>
      <c r="J36" s="5" t="s">
        <v>264</v>
      </c>
      <c r="K36" s="5"/>
      <c r="L36" s="5" t="s">
        <v>249</v>
      </c>
      <c r="M36" s="5" t="s">
        <v>26</v>
      </c>
    </row>
    <row r="37" customFormat="false" ht="22.35" hidden="false" customHeight="false" outlineLevel="0" collapsed="false">
      <c r="A37" s="4" t="s">
        <v>265</v>
      </c>
      <c r="B37" s="5" t="s">
        <v>266</v>
      </c>
      <c r="C37" s="5" t="s">
        <v>267</v>
      </c>
      <c r="D37" s="5" t="s">
        <v>268</v>
      </c>
      <c r="E37" s="5" t="s">
        <v>269</v>
      </c>
      <c r="F37" s="5" t="s">
        <v>270</v>
      </c>
      <c r="G37" s="5" t="s">
        <v>271</v>
      </c>
      <c r="H37" s="5" t="s">
        <v>272</v>
      </c>
      <c r="I37" s="5" t="s">
        <v>164</v>
      </c>
      <c r="J37" s="5"/>
      <c r="K37" s="5"/>
      <c r="L37" s="5" t="s">
        <v>273</v>
      </c>
      <c r="M37" s="5" t="s">
        <v>165</v>
      </c>
    </row>
    <row r="38" customFormat="false" ht="43.25" hidden="false" customHeight="false" outlineLevel="0" collapsed="false">
      <c r="A38" s="4" t="s">
        <v>274</v>
      </c>
      <c r="B38" s="5" t="s">
        <v>275</v>
      </c>
      <c r="C38" s="5" t="s">
        <v>276</v>
      </c>
      <c r="D38" s="5" t="s">
        <v>277</v>
      </c>
      <c r="E38" s="5" t="s">
        <v>278</v>
      </c>
      <c r="F38" s="5" t="s">
        <v>279</v>
      </c>
      <c r="G38" s="5" t="s">
        <v>280</v>
      </c>
      <c r="H38" s="5" t="s">
        <v>281</v>
      </c>
      <c r="I38" s="5" t="s">
        <v>70</v>
      </c>
      <c r="J38" s="5" t="s">
        <v>282</v>
      </c>
      <c r="K38" s="5" t="s">
        <v>283</v>
      </c>
      <c r="L38" s="5" t="s">
        <v>115</v>
      </c>
      <c r="M38" s="5" t="s">
        <v>26</v>
      </c>
    </row>
  </sheetData>
  <autoFilter ref="A4:M38"/>
  <conditionalFormatting sqref="I5:I38">
    <cfRule type="cellIs" priority="2" operator="equal" aboveAverage="0" equalAverage="0" bottom="0" percent="0" rank="0" text="" dxfId="9">
      <formula>"Pass"</formula>
    </cfRule>
    <cfRule type="cellIs" priority="3" operator="equal" aboveAverage="0" equalAverage="0" bottom="0" percent="0" rank="0" text="" dxfId="10">
      <formula>"Fail"</formula>
    </cfRule>
    <cfRule type="cellIs" priority="4" operator="equal" aboveAverage="0" equalAverage="0" bottom="0" percent="0" rank="0" text="" dxfId="11">
      <formula>"Blocked"</formula>
    </cfRule>
    <cfRule type="cellIs" priority="5" operator="equal" aboveAverage="0" equalAverage="0" bottom="0" percent="0" rank="0" text="" dxfId="11">
      <formula>"Not Run"</formula>
    </cfRule>
  </conditionalFormatting>
  <dataValidations count="1">
    <dataValidation allowBlank="false" errorStyle="stop" operator="between" showDropDown="false" showErrorMessage="false" showInputMessage="false" sqref="I5:I38"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4"/>
  </cols>
  <sheetData>
    <row r="1" customFormat="false" ht="16.15" hidden="false" customHeight="false" outlineLevel="0" collapsed="false">
      <c r="A1" s="6" t="s">
        <v>284</v>
      </c>
    </row>
    <row r="3" customFormat="false" ht="15" hidden="false" customHeight="false" outlineLevel="0" collapsed="false">
      <c r="A3" s="7" t="s">
        <v>285</v>
      </c>
      <c r="B3" s="8" t="n">
        <f aca="false">COUNTA('Non-Functional Tests'!$I$5:$I$38)</f>
        <v>34</v>
      </c>
    </row>
    <row r="4" customFormat="false" ht="15" hidden="false" customHeight="false" outlineLevel="0" collapsed="false">
      <c r="A4" s="7" t="s">
        <v>286</v>
      </c>
      <c r="B4" s="8" t="n">
        <f aca="false">COUNTIF('Non-Functional Tests'!$I$5:$I$38,"Pass")</f>
        <v>28</v>
      </c>
    </row>
    <row r="5" customFormat="false" ht="15" hidden="false" customHeight="false" outlineLevel="0" collapsed="false">
      <c r="A5" s="7" t="s">
        <v>287</v>
      </c>
      <c r="B5" s="8" t="n">
        <f aca="false">COUNTIF('Non-Functional Tests'!$I$5:$I$38,"Fail")</f>
        <v>2</v>
      </c>
    </row>
    <row r="6" customFormat="false" ht="15" hidden="false" customHeight="false" outlineLevel="0" collapsed="false">
      <c r="A6" s="7" t="s">
        <v>229</v>
      </c>
      <c r="B6" s="8" t="n">
        <f aca="false">COUNTIF('Non-Functional Tests'!$I$5:$I$38,"Blocked")</f>
        <v>2</v>
      </c>
    </row>
    <row r="7" customFormat="false" ht="15" hidden="false" customHeight="false" outlineLevel="0" collapsed="false">
      <c r="A7" s="7" t="s">
        <v>164</v>
      </c>
      <c r="B7" s="8" t="n">
        <f aca="false">COUNTIF('Non-Functional Tests'!$I$5:$I$38,"Not Run")</f>
        <v>2</v>
      </c>
    </row>
    <row r="8" customFormat="false" ht="15" hidden="false" customHeight="false" outlineLevel="0" collapsed="false">
      <c r="A8" s="7" t="s">
        <v>288</v>
      </c>
      <c r="B8" s="8" t="n">
        <f aca="false">B4+B5</f>
        <v>30</v>
      </c>
    </row>
    <row r="9" customFormat="false" ht="15" hidden="false" customHeight="false" outlineLevel="0" collapsed="false">
      <c r="A9" s="7" t="s">
        <v>289</v>
      </c>
      <c r="B9" s="9" t="n">
        <f aca="false">IF(B8=0,"N/A",B4/B8)</f>
        <v>0.933333333333333</v>
      </c>
    </row>
    <row r="11" customFormat="false" ht="15" hidden="false" customHeight="false" outlineLevel="0" collapsed="false">
      <c r="A11" s="2" t="s">
        <v>290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1" min="1" style="0" width="16"/>
  </cols>
  <sheetData>
    <row r="1" customFormat="false" ht="15" hidden="false" customHeight="false" outlineLevel="0" collapsed="false">
      <c r="A1" s="10" t="s">
        <v>291</v>
      </c>
      <c r="B1" s="10" t="s">
        <v>292</v>
      </c>
      <c r="C1" s="10" t="s">
        <v>293</v>
      </c>
      <c r="D1" s="10" t="s">
        <v>294</v>
      </c>
      <c r="E1" s="10" t="s">
        <v>295</v>
      </c>
      <c r="F1" s="10" t="s">
        <v>296</v>
      </c>
      <c r="G1" s="10" t="s">
        <v>297</v>
      </c>
      <c r="H1" s="10" t="s">
        <v>298</v>
      </c>
      <c r="I1" s="10" t="s">
        <v>299</v>
      </c>
      <c r="J1" s="10" t="s">
        <v>300</v>
      </c>
      <c r="K1" s="10" t="s">
        <v>301</v>
      </c>
    </row>
    <row r="2" customFormat="false" ht="15" hidden="false" customHeight="false" outlineLevel="0" collapsed="false">
      <c r="A2" s="11" t="s">
        <v>302</v>
      </c>
      <c r="B2" s="11" t="n">
        <v>50</v>
      </c>
      <c r="C2" s="11" t="s">
        <v>303</v>
      </c>
      <c r="D2" s="11" t="n">
        <v>9966</v>
      </c>
      <c r="E2" s="11" t="n">
        <v>129.33</v>
      </c>
      <c r="F2" s="12" t="n">
        <v>0</v>
      </c>
      <c r="G2" s="11" t="n">
        <v>54.1</v>
      </c>
      <c r="H2" s="11" t="n">
        <v>55.8</v>
      </c>
      <c r="I2" s="11" t="n">
        <v>92.2</v>
      </c>
      <c r="J2" s="11" t="n">
        <v>119.9</v>
      </c>
      <c r="K2" s="11" t="n">
        <v>260.6</v>
      </c>
    </row>
    <row r="3" customFormat="false" ht="15" hidden="false" customHeight="false" outlineLevel="0" collapsed="false">
      <c r="A3" s="11" t="s">
        <v>304</v>
      </c>
      <c r="B3" s="11" t="n">
        <v>150</v>
      </c>
      <c r="C3" s="11" t="s">
        <v>305</v>
      </c>
      <c r="D3" s="11" t="n">
        <v>9279</v>
      </c>
      <c r="E3" s="11" t="n">
        <v>162.14</v>
      </c>
      <c r="F3" s="12" t="n">
        <v>0</v>
      </c>
      <c r="G3" s="11" t="n">
        <v>501.2</v>
      </c>
      <c r="H3" s="11" t="n">
        <v>531.6</v>
      </c>
      <c r="I3" s="11" t="n">
        <v>812.6</v>
      </c>
      <c r="J3" s="11" t="n">
        <v>1037.2</v>
      </c>
      <c r="K3" s="11" t="n">
        <v>1410.2</v>
      </c>
    </row>
    <row r="4" customFormat="false" ht="15" hidden="false" customHeight="false" outlineLevel="0" collapsed="false">
      <c r="A4" s="11" t="s">
        <v>306</v>
      </c>
      <c r="B4" s="11" t="n">
        <v>150</v>
      </c>
      <c r="C4" s="11" t="s">
        <v>303</v>
      </c>
      <c r="D4" s="11" t="n">
        <v>12919</v>
      </c>
      <c r="E4" s="11" t="n">
        <v>167.1</v>
      </c>
      <c r="F4" s="12" t="n">
        <v>0</v>
      </c>
      <c r="G4" s="11" t="n">
        <v>508.6</v>
      </c>
      <c r="H4" s="11" t="n">
        <v>526.3</v>
      </c>
      <c r="I4" s="11" t="n">
        <v>781.4</v>
      </c>
      <c r="J4" s="11" t="n">
        <v>986.7</v>
      </c>
      <c r="K4" s="11" t="n">
        <v>1975</v>
      </c>
    </row>
    <row r="5" customFormat="false" ht="15" hidden="false" customHeight="false" outlineLevel="0" collapsed="false">
      <c r="A5" s="11" t="s">
        <v>307</v>
      </c>
      <c r="B5" s="11" t="n">
        <v>300</v>
      </c>
      <c r="C5" s="11" t="s">
        <v>303</v>
      </c>
      <c r="D5" s="11" t="n">
        <v>12713</v>
      </c>
      <c r="E5" s="11" t="n">
        <v>162.14</v>
      </c>
      <c r="F5" s="12" t="n">
        <v>0</v>
      </c>
      <c r="G5" s="11" t="n">
        <v>1362.8</v>
      </c>
      <c r="H5" s="11" t="n">
        <v>1429.5</v>
      </c>
      <c r="I5" s="11" t="n">
        <v>1921.5</v>
      </c>
      <c r="J5" s="11" t="n">
        <v>2208.9</v>
      </c>
      <c r="K5" s="11" t="n">
        <v>3021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2026-10-18T16:57:06Z</dcterms:created>
  <dc:creator>openpyxl</dc:creator>
  <dc:description/>
  <dc:language>en-US</dc:language>
  <cp:lastModifiedBy/>
  <dcterms:modified xsi:type="dcterms:W3CDTF">2026-10-18T16:57:06Z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