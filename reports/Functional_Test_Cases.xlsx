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nctional Tests" sheetId="1" state="visible" r:id="rId3"/>
    <sheet name="Summary" sheetId="2" state="visible" r:id="rId4"/>
  </sheets>
  <definedNames>
    <definedName function="false" hidden="true" localSheetId="0" name="_xlnm._FilterDatabase" vbProcedure="false">'Functional Tests'!$A$4:$M$47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<sst xmlns="http://schemas.openxmlformats.org/spreadsheetml/2006/main" count="543" uniqueCount="364">
  <si>
    <t xml:space="preserve">VISTA – Functional Test Cases</t>
  </si>
  <si>
    <t xml:space="preserve">Generated 18 Oct 2026 22:27 IST from test-results/test-results.json. Status values: Pass, Fail, Blocked, Not Run (drop-down). Edit Status / Actual Result to record a manual re-test; the Summary sheet updates automatically.</t>
  </si>
  <si>
    <t xml:space="preserve">TC ID</t>
  </si>
  <si>
    <t xml:space="preserve">Module</t>
  </si>
  <si>
    <t xml:space="preserve">Test Case Description</t>
  </si>
  <si>
    <t xml:space="preserve">Pre-Conditions</t>
  </si>
  <si>
    <t xml:space="preserve">Test Steps</t>
  </si>
  <si>
    <t xml:space="preserve">Test Data</t>
  </si>
  <si>
    <t xml:space="preserve">Expected Result</t>
  </si>
  <si>
    <t xml:space="preserve">Actual Result</t>
  </si>
  <si>
    <t xml:space="preserve">Status</t>
  </si>
  <si>
    <t xml:space="preserve">Defect ID</t>
  </si>
  <si>
    <t xml:space="preserve">Requirement</t>
  </si>
  <si>
    <t xml:space="preserve">Automated By</t>
  </si>
  <si>
    <t xml:space="preserve">Execution</t>
  </si>
  <si>
    <t xml:space="preserve">FT-01</t>
  </si>
  <si>
    <t xml:space="preserve">Authentication</t>
  </si>
  <si>
    <t xml:space="preserve">Login with valid student credentials</t>
  </si>
  <si>
    <t xml:space="preserve">Seeded student account exists</t>
  </si>
  <si>
    <t xml:space="preserve">1. Open login page  2. Enter email and password  3. Click Sign in</t>
  </si>
  <si>
    <t xml:space="preserve">priya.sharma@vista.demo / Student@123</t>
  </si>
  <si>
    <t xml:space="preserve">Token issued; student dashboard opens with role 'Student' and SOS button</t>
  </si>
  <si>
    <t xml:space="preserve">API: HTTP 200; JWT issued; role=STUDENT; room=G-101
UI: redirected to dashboard 'Good evening, Priya', role label 'Student', SOS button visible</t>
  </si>
  <si>
    <t xml:space="preserve">Pass</t>
  </si>
  <si>
    <t xml:space="preserve">FR04</t>
  </si>
  <si>
    <t xml:space="preserve">API (pytest), UI (Playwright)</t>
  </si>
  <si>
    <t xml:space="preserve">Executed (automated)</t>
  </si>
  <si>
    <t xml:space="preserve">FT-02</t>
  </si>
  <si>
    <t xml:space="preserve">Login with an invalid password</t>
  </si>
  <si>
    <t xml:space="preserve">Account exists</t>
  </si>
  <si>
    <t xml:space="preserve">1. Enter valid email + wrong password  2. Sign in  3. Repeat with unknown email</t>
  </si>
  <si>
    <t xml:space="preserve">arjun.nair@vista.demo / NotMyPass1</t>
  </si>
  <si>
    <t xml:space="preserve">401 'Invalid email or password'; same message for unknown email; stays on login page</t>
  </si>
  <si>
    <t xml:space="preserve">API: HTTP 401 'Invalid email or password' for wrong password and for unknown email (same message)
UI: error 'Invalid email or password' displayed; URL stays /login</t>
  </si>
  <si>
    <t xml:space="preserve">FT-03</t>
  </si>
  <si>
    <t xml:space="preserve">Role-based dashboard and menu</t>
  </si>
  <si>
    <t xml:space="preserve">Student and warden accounts</t>
  </si>
  <si>
    <t xml:space="preserve">1. Log in as student  2. Log in as warden  3. Compare dashboard cards and menu</t>
  </si>
  <si>
    <t xml:space="preserve">Priya (student), warden.lh</t>
  </si>
  <si>
    <t xml:space="preserve">Student sees student cards + Vault; warden sees management cards (SOS, escalations) + Users</t>
  </si>
  <si>
    <t xml:space="preserve">API: Student dashboard cards=['active_deliveries', 'active_services', 'open_complaints', 'pending_visitors']; warden dashboard has 8 management cards incl. active_sos
UI: student menu shows Document Vault, no Users; warden menu shows Users/Hostels, no Vault; warden dashboard shows Active SOS card</t>
  </si>
  <si>
    <t xml:space="preserve">FR04, FR17, FR19</t>
  </si>
  <si>
    <t xml:space="preserve">FT-04</t>
  </si>
  <si>
    <t xml:space="preserve">Access control</t>
  </si>
  <si>
    <t xml:space="preserve">Student attempts administrator operations</t>
  </si>
  <si>
    <t xml:space="preserve">Logged in as student</t>
  </si>
  <si>
    <t xml:space="preserve">1. Call admin user creation, audit log, visitor decision, notice publishing  2. Open /admin/users in UI</t>
  </si>
  <si>
    <t xml:space="preserve">Student token</t>
  </si>
  <si>
    <t xml:space="preserve">Backend returns 403 for every call; UI shows 'Access denied'</t>
  </si>
  <si>
    <t xml:space="preserve">API: Student received 403 Forbidden on POST /api/admin/users, GET /api/admin/audit-logs, PATCH /api/visitors/1/decision, POST /api/notices
UI: /admin/users as student shows '403 Access denied' page</t>
  </si>
  <si>
    <t xml:space="preserve">FR04, NFR05</t>
  </si>
  <si>
    <t xml:space="preserve">FT-05</t>
  </si>
  <si>
    <t xml:space="preserve">Registration</t>
  </si>
  <si>
    <t xml:space="preserve">Student self-registration with valid data</t>
  </si>
  <si>
    <t xml:space="preserve">Email and reg. no. not used</t>
  </si>
  <si>
    <t xml:space="preserve">1. Submit registration form  2. Submit again with same reg. no.  3. Log in with new account</t>
  </si>
  <si>
    <t xml:space="preserve">25BCE9001, new.student@vista.demo</t>
  </si>
  <si>
    <t xml:space="preserve">201 Created as STUDENT; duplicate reg. no. -&gt; 409; new account can log in</t>
  </si>
  <si>
    <t xml:space="preserve">API: 201 Created (role STUDENT); duplicate reg no -&gt; 409 'An account with this registration number already exists'; new account can log in</t>
  </si>
  <si>
    <t xml:space="preserve">FR01</t>
  </si>
  <si>
    <t xml:space="preserve">API (pytest)</t>
  </si>
  <si>
    <t xml:space="preserve">FT-06</t>
  </si>
  <si>
    <t xml:space="preserve">Registration input validation</t>
  </si>
  <si>
    <t xml:space="preserve">None</t>
  </si>
  <si>
    <t xml:space="preserve">1. Submit form with invalid reg. no., phone, weak password, bad email, script in name</t>
  </si>
  <si>
    <t xml:space="preserve">ABC123, 12345, 'short', '&lt;script&gt;'</t>
  </si>
  <si>
    <t xml:space="preserve">Each invalid field rejected (422 / inline error); nothing saved</t>
  </si>
  <si>
    <t xml:space="preserve">API: reg_no='ABC123' -&gt; 422 'reg_no: Registration number must look like 24BYB0193'; phone='12345' -&gt; 422 'phone: Phone must be a valid 10-digit Indian mobile number'; password='short' -&gt; 422 'password: Password must be at least 8 characters and contain letters a'; email='not-an-email' -&gt; 422 'email: value is not a valid email address: An email address must have '; full_name='&lt;script&gt;' -&gt; 422 'full_name: Name may contain only letters, spaces, dots, hyphens and ap'
UI: inline errors for reg. no., mobile, password and name; form not submitted</t>
  </si>
  <si>
    <t xml:space="preserve">DEF-07 (fixed)</t>
  </si>
  <si>
    <t xml:space="preserve">FT-07</t>
  </si>
  <si>
    <t xml:space="preserve">Profile</t>
  </si>
  <si>
    <t xml:space="preserve">Update profile and roommate preferences</t>
  </si>
  <si>
    <t xml:space="preserve">1. Edit mobile + preferences  2. Save  3. Reload page  4. Try invalid phone</t>
  </si>
  <si>
    <t xml:space="preserve">9988776655, QUIET / LATE</t>
  </si>
  <si>
    <t xml:space="preserve">Changes saved and shown after reload; invalid phone rejected</t>
  </si>
  <si>
    <t xml:space="preserve">API: Profile saved and re-read: phone=9000011111, pref_sleep=LATE; invalid phone -&gt; 422
UI: 'Profile updated' toast; after reload mobile=9988776655, study=QUIET</t>
  </si>
  <si>
    <t xml:space="preserve">FR05</t>
  </si>
  <si>
    <t xml:space="preserve">FT-08</t>
  </si>
  <si>
    <t xml:space="preserve">Complaints</t>
  </si>
  <si>
    <t xml:space="preserve">Register an electrical/plumbing complaint</t>
  </si>
  <si>
    <t xml:space="preserve">Student with room</t>
  </si>
  <si>
    <t xml:space="preserve">1. New complaint  2. Choose category, title, description  3. Submit</t>
  </si>
  <si>
    <t xml:space="preserve">PLUMBING, 'Bathroom tap leaking'</t>
  </si>
  <si>
    <t xml:space="preserve">Complaint code CMP-xxxxx created, status OPEN, forwarded to maintenance staff who is notified</t>
  </si>
  <si>
    <t xml:space="preserve">API: 201; CMP-00008 OPEN, priority MEDIUM; auto-forwarded to Ramesh Electricals (MAINTENANCE) and notified
UI: CMP-00008 created (status Open, forwarded to maintenance staff) and still listed after page reload</t>
  </si>
  <si>
    <t xml:space="preserve">FR10, FR11</t>
  </si>
  <si>
    <t xml:space="preserve">FT-09</t>
  </si>
  <si>
    <t xml:space="preserve">Complaint with missing required fields</t>
  </si>
  <si>
    <t xml:space="preserve">1. Submit empty complaint form  2. Submit without category  3. Invalid category</t>
  </si>
  <si>
    <t xml:space="preserve">Empty title / description</t>
  </si>
  <si>
    <t xml:space="preserve">Inline errors in UI; API returns 422; nothing stored</t>
  </si>
  <si>
    <t xml:space="preserve">API: Empty title/description -&gt; 422 'title: String should have at least 5 characters'; missing category -&gt; 422; invalid category -&gt; 422
UI: three inline errors shown (category, title, description); dialog stays open, nothing submitted</t>
  </si>
  <si>
    <t xml:space="preserve">FR10</t>
  </si>
  <si>
    <t xml:space="preserve">FT-10</t>
  </si>
  <si>
    <t xml:space="preserve">Washroom and water complaints get HIGH priority</t>
  </si>
  <si>
    <t xml:space="preserve">1. Raise WASHROOM complaint with LOW priority  2. Raise WATER complaint with MEDIUM</t>
  </si>
  <si>
    <t xml:space="preserve">WASHROOM/LOW, WATER/MEDIUM</t>
  </si>
  <si>
    <t xml:space="preserve">Both stored with priority HIGH</t>
  </si>
  <si>
    <t xml:space="preserve">API: WASHROOM requested LOW -&gt; stored HIGH; WATER requested MEDIUM -&gt; stored HIGH</t>
  </si>
  <si>
    <t xml:space="preserve">FR23</t>
  </si>
  <si>
    <t xml:space="preserve">FT-11</t>
  </si>
  <si>
    <t xml:space="preserve">Staff updates complaint status to resolved</t>
  </si>
  <si>
    <t xml:space="preserve">Complaint assigned to staff</t>
  </si>
  <si>
    <t xml:space="preserve">1. Staff marks IN_PROGRESS with note  2. Marks RESOLVED  3. Student closes</t>
  </si>
  <si>
    <t xml:space="preserve">Notes: 'Visiting at 4 PM', 'Latch replaced'</t>
  </si>
  <si>
    <t xml:space="preserve">Status changes saved, history shows each step, student notified</t>
  </si>
  <si>
    <t xml:space="preserve">API: OPEN -&gt; IN_PROGRESS -&gt; RESOLVED by assigned staff, CLOSED by student; history has 4 entries; student notified</t>
  </si>
  <si>
    <t xml:space="preserve">FR10, FR33</t>
  </si>
  <si>
    <t xml:space="preserve">FT-12</t>
  </si>
  <si>
    <t xml:space="preserve">Invalid complaint status changes are blocked</t>
  </si>
  <si>
    <t xml:space="preserve">Open complaint</t>
  </si>
  <si>
    <t xml:space="preserve">1. Staff tries CLOSED  2. Student tries RESOLVED  3. Another student opens it  4. Change a CLOSED complaint</t>
  </si>
  <si>
    <t xml:space="preserve">-</t>
  </si>
  <si>
    <t xml:space="preserve">403 / 404 / 409 respectively; status unchanged</t>
  </si>
  <si>
    <t xml:space="preserve">API: Staff CLOSE -&gt; 403; student RESOLVE -&gt; 403; other student view -&gt; 404; CLOSED -&gt; IN_PROGRESS -&gt; 409 'Invalid status change from CLOSED to IN_PROGRESS'</t>
  </si>
  <si>
    <t xml:space="preserve">FR10, NFR05</t>
  </si>
  <si>
    <t xml:space="preserve">FT-13</t>
  </si>
  <si>
    <t xml:space="preserve">Escalation of unresolved complaint to chief warden</t>
  </si>
  <si>
    <t xml:space="preserve">HIGH complaint older than 24 h</t>
  </si>
  <si>
    <t xml:space="preserve">1. Age complaint by 25 h  2. Run escalation check  3. View as chief warden</t>
  </si>
  <si>
    <t xml:space="preserve">SLA: HIGH 24 h, MEDIUM 48 h, LOW 72 h</t>
  </si>
  <si>
    <t xml:space="preserve">Complaint becomes ESCALATED, assigned to chief warden, chief warden notified; new complaints untouched</t>
  </si>
  <si>
    <t xml:space="preserve">API: HIGH complaint aged 25 h escalated to Dr. Lakshmi Narayanan; 0-h LOW complaint not escalated; chief warden notified</t>
  </si>
  <si>
    <t xml:space="preserve">FR12</t>
  </si>
  <si>
    <t xml:space="preserve">FT-14</t>
  </si>
  <si>
    <t xml:space="preserve">Visitors</t>
  </si>
  <si>
    <t xml:space="preserve">Student registers a visitor</t>
  </si>
  <si>
    <t xml:space="preserve">1. Fill visitor name, relation, phone, date, time  2. Submit  3. Submit duplicate</t>
  </si>
  <si>
    <t xml:space="preserve">Sunil Reddy, PARENT, +3 days 10:00-12:00</t>
  </si>
  <si>
    <t xml:space="preserve">Request PENDING; wardens notified; duplicate -&gt; 409</t>
  </si>
  <si>
    <t xml:space="preserve">API: 201 PENDING; 12 warden notifications; duplicate same visitor/date -&gt; 409
UI: request shown Pending to student → warden approved with remark → student list shows Approved + 'Please carry ID'</t>
  </si>
  <si>
    <t xml:space="preserve">FR13</t>
  </si>
  <si>
    <t xml:space="preserve">FT-15</t>
  </si>
  <si>
    <t xml:space="preserve">Warden approves a visitor request</t>
  </si>
  <si>
    <t xml:space="preserve">Pending request</t>
  </si>
  <si>
    <t xml:space="preserve">1. Warden opens Visitors  2. Approve with remark  3. Student checks status</t>
  </si>
  <si>
    <t xml:space="preserve">Remark 'Please carry ID'</t>
  </si>
  <si>
    <t xml:space="preserve">Status APPROVED shown to student with remark; notification sent; second decision -&gt; 409</t>
  </si>
  <si>
    <t xml:space="preserve">API: Warden approval -&gt; 200 APPROVED; student sees APPROVED and gets notification; deciding again -&gt; 409
UI: request shown Pending to student → warden approved with remark → student list shows Approved + 'Please carry ID'</t>
  </si>
  <si>
    <t xml:space="preserve">FR14, FR33</t>
  </si>
  <si>
    <t xml:space="preserve">FT-16</t>
  </si>
  <si>
    <t xml:space="preserve">Warden rejects a visitor request</t>
  </si>
  <si>
    <t xml:space="preserve">1. Reject without reason  2. Reject with reason</t>
  </si>
  <si>
    <t xml:space="preserve">Reason 'Friends only on weekends'</t>
  </si>
  <si>
    <t xml:space="preserve">No reason -&gt; 422; with reason -&gt; REJECTED and remark shown to student</t>
  </si>
  <si>
    <t xml:space="preserve">API: Reject without reason -&gt; 422 'Please give a reason when rejecting a visitor request'; with reason -&gt; REJECTED, remark shown to student</t>
  </si>
  <si>
    <t xml:space="preserve">FR14</t>
  </si>
  <si>
    <t xml:space="preserve">FT-17</t>
  </si>
  <si>
    <t xml:space="preserve">Invalid visitor date and time</t>
  </si>
  <si>
    <t xml:space="preserve">1. Past date  2. Date &gt; 30 days ahead  3. Malformed date  4. End before start  5. Outside 08:00-20:00</t>
  </si>
  <si>
    <t xml:space="preserve">2020-01-01, +45 days, 15:00-14:00</t>
  </si>
  <si>
    <t xml:space="preserve">Each rejected with a clear message (422 / inline error)</t>
  </si>
  <si>
    <t xml:space="preserve">API: past date -&gt; 422 'Visit date cannot be in the past'; more than 30 days ahead -&gt; 422 'Visits can be requested at most 30 days in advance'; malformed date -&gt; 422 'Visit date must be a valid date (YYYY-MM-DD)'; end before start -&gt; 422 'Visit end time must be after the start time'; outside visiting hours -&gt; 422 'Visiting hours are 08:00 to 20:00'; missing phone -&gt; 422 'visitor_phone: Phone must be a valid 10-digit Indian mobile '
UI: 'Visit date cannot be in the past' shown; no request created</t>
  </si>
  <si>
    <t xml:space="preserve">FT-18</t>
  </si>
  <si>
    <t xml:space="preserve">Hostel services</t>
  </si>
  <si>
    <t xml:space="preserve">Sick-meal request and fulfilment</t>
  </si>
  <si>
    <t xml:space="preserve">Student with room; mess staff</t>
  </si>
  <si>
    <t xml:space="preserve">1. Request DINNER sick meal  2. Mess staff accepts  3. Marks completed</t>
  </si>
  <si>
    <t xml:space="preserve">Diet note 'Soft food'</t>
  </si>
  <si>
    <t xml:space="preserve">PENDING -&gt; ACCEPTED -&gt; COMPLETED; only mess staff can act</t>
  </si>
  <si>
    <t xml:space="preserve">API: Sick meal 201 PENDING -&gt; in mess queue -&gt; ACCEPTED -&gt; COMPLETED by mess staff; cleaning staff -&gt; 403</t>
  </si>
  <si>
    <t xml:space="preserve">FR15</t>
  </si>
  <si>
    <t xml:space="preserve">FT-19</t>
  </si>
  <si>
    <t xml:space="preserve">Room-cleaning request</t>
  </si>
  <si>
    <t xml:space="preserve">1. Request MORNING cleaning  2. Duplicate  3. Missing slot  4. Date &gt; 7 days</t>
  </si>
  <si>
    <t xml:space="preserve">Tomorrow, MORNING</t>
  </si>
  <si>
    <t xml:space="preserve">Created and visible to cleaning staff; invalid requests rejected</t>
  </si>
  <si>
    <t xml:space="preserve">API: Cleaning 201 PENDING visible to cleaning staff; duplicate -&gt; 409; missing slot -&gt; 422; date &gt; 7 days -&gt; 422</t>
  </si>
  <si>
    <t xml:space="preserve">FR16</t>
  </si>
  <si>
    <t xml:space="preserve">FT-20</t>
  </si>
  <si>
    <t xml:space="preserve">Emergency SOS</t>
  </si>
  <si>
    <t xml:space="preserve">Raise, acknowledge and resolve an SOS</t>
  </si>
  <si>
    <t xml:space="preserve">Student, warden and security accounts</t>
  </si>
  <si>
    <t xml:space="preserve">1. Click SOS  2. Confirm in dialog  3. Warden acknowledges  4. Resolves with note</t>
  </si>
  <si>
    <t xml:space="preserve">'Twisted ankle on stairs'</t>
  </si>
  <si>
    <t xml:space="preserve">Alert stored with timestamps; warden + security notified &lt; 5 s; RAISED -&gt; ACKNOWLEDGED -&gt; RESOLVED</t>
  </si>
  <si>
    <t xml:space="preserve">API: SOS RAISED, 6 responders (warden, chief, security) notified in 2.2 ms (API round trip 15 ms); resolve-before-ack -&gt; 409; ACKNOWLEDGED -&gt; RESOLVED with timestamps
UI: confirmation dialog with demo disclaimer → alert Raised on warden board → Acknowledged → Resolved; student sees Resolved</t>
  </si>
  <si>
    <t xml:space="preserve">FR22, NFR03</t>
  </si>
  <si>
    <t xml:space="preserve">FT-21</t>
  </si>
  <si>
    <t xml:space="preserve">SOS without confirmation / by unauthorised role</t>
  </si>
  <si>
    <t xml:space="preserve">Logged in</t>
  </si>
  <si>
    <t xml:space="preserve">1. Send SOS with confirm=false  2. Maintenance staff tries to raise / acknowledge</t>
  </si>
  <si>
    <t xml:space="preserve">confirm=false</t>
  </si>
  <si>
    <t xml:space="preserve">400 and no alert stored; staff without security role -&gt; 403</t>
  </si>
  <si>
    <t xml:space="preserve">API: Unconfirmed SOS -&gt; 400 'SOS must be confirmed before it is sent', no alert stored; maintenance staff cannot acknowledge (403)</t>
  </si>
  <si>
    <t xml:space="preserve">FR22</t>
  </si>
  <si>
    <t xml:space="preserve">FT-22</t>
  </si>
  <si>
    <t xml:space="preserve">P2P delivery</t>
  </si>
  <si>
    <t xml:space="preserve">Create an inter-hostel delivery request (₹10)</t>
  </si>
  <si>
    <t xml:space="preserve">Sender and receiver in different hostels</t>
  </si>
  <si>
    <t xml:space="preserve">1. Send an item  2. Enter receiver reg. no. + item  3. Confirm ₹10 fee  4. Try same-hostel receiver</t>
  </si>
  <si>
    <t xml:space="preserve">Receiver 24BCE1001</t>
  </si>
  <si>
    <t xml:space="preserve">Request OPEN, fee ₹10, demo receipt issued; same hostel / unconfirmed fee / unknown receiver rejected</t>
  </si>
  <si>
    <t xml:space="preserve">API: 201 DLV-00002 OPEN, fee ₹10, demo receipt RCPT-DEMO-000002, Men's Hostel North -&gt; Ladies Hostel East; same-hostel receiver -&gt; 400; fee not confirmed -&gt; 400; unknown receiver -&gt; 404
UI: DLV-00002 posted with ₹10 demo fee → accepted &amp; picked up by carrier → receiver saw 6-digit OTP and QR → wrong OTP showed '2 attempt(s) left' → correct OTP → Delivered (also on sender's view)</t>
  </si>
  <si>
    <t xml:space="preserve">FR28</t>
  </si>
  <si>
    <t xml:space="preserve">FT-23</t>
  </si>
  <si>
    <t xml:space="preserve">Carrier accepts a delivery</t>
  </si>
  <si>
    <t xml:space="preserve">Open delivery request</t>
  </si>
  <si>
    <t xml:space="preserve">1. Another student opens 'Available to carry'  2. Accepts  3. Sender/receiver/second carrier try to accept</t>
  </si>
  <si>
    <t xml:space="preserve">Carrier Vikram / Arjun</t>
  </si>
  <si>
    <t xml:space="preserve">ACCEPTED with carrier recorded; sender/receiver -&gt; 400; second carrier -&gt; 409</t>
  </si>
  <si>
    <t xml:space="preserve">API: Listed as available; sender/receiver accept -&gt; 400; Vikram accepts -&gt; ACCEPTED; second carrier -&gt; 409 'This delivery has already been taken by another carrier'
UI: DLV-00002 posted with ₹10 demo fee → accepted &amp; picked up by carrier → receiver saw 6-digit OTP and QR → wrong OTP showed '2 attempt(s) left' → correct OTP → Delivered (also on sender's view)</t>
  </si>
  <si>
    <t xml:space="preserve">FT-24</t>
  </si>
  <si>
    <t xml:space="preserve">Handover with valid OTP</t>
  </si>
  <si>
    <t xml:space="preserve">Delivery picked up</t>
  </si>
  <si>
    <t xml:space="preserve">1. Carrier marks picked up  2. Receiver reads OTP  3. Carrier enters OTP</t>
  </si>
  <si>
    <t xml:space="preserve">6-digit OTP from receiver</t>
  </si>
  <si>
    <t xml:space="preserve">OTP only visible to receiver; status DELIVERED; OTP cleared</t>
  </si>
  <si>
    <t xml:space="preserve">API: OTP visible only to receiver (hidden from carrier); carrier entered it -&gt; 200 DELIVERED; OTP cleared after use
UI: DLV-00002 posted with ₹10 demo fee → accepted &amp; picked up by carrier → receiver saw 6-digit OTP and QR → wrong OTP showed '2 attempt(s) left' → correct OTP → Delivered (also on sender's view)</t>
  </si>
  <si>
    <t xml:space="preserve">FR30</t>
  </si>
  <si>
    <t xml:space="preserve">FT-25</t>
  </si>
  <si>
    <t xml:space="preserve">Handover with invalid OTP</t>
  </si>
  <si>
    <t xml:space="preserve">1. Carrier enters wrong OTP  2. Non-numeric OTP  3. Sender enters OTP</t>
  </si>
  <si>
    <t xml:space="preserve">000000, '12ab'</t>
  </si>
  <si>
    <t xml:space="preserve">400 with attempts left; 422; 403; status stays PICKED_UP</t>
  </si>
  <si>
    <t xml:space="preserve">API: Wrong OTP -&gt; 400 'Incorrect OTP. 2 attempt(s) left.'; non-numeric -&gt; 422; sender entering OTP -&gt; 403; status stays PICKED_UP</t>
  </si>
  <si>
    <t xml:space="preserve">FT-26</t>
  </si>
  <si>
    <t xml:space="preserve">OTP lock after 3 attempts and expiry</t>
  </si>
  <si>
    <t xml:space="preserve">1. Enter wrong OTP 3 times  2. Enter correct OTP  3. Re-issue OTP and let it expire  4. Re-issue limit</t>
  </si>
  <si>
    <t xml:space="preserve">3 x 000000; expiry 10 min</t>
  </si>
  <si>
    <t xml:space="preserve">Locked (423) after 3rd wrong try; expired -&gt; 410; at most 3 OTPs per delivery</t>
  </si>
  <si>
    <t xml:space="preserve">API: 3 wrong OTPs -&gt; 400, 400, 423 (locked); correct OTP after lock -&gt; 410; expired OTP -&gt; 410 'OTP has expired or is not active. Ask for a new OTP.'; OTP re-issue capped at 3 (4th -&gt; 409)</t>
  </si>
  <si>
    <t xml:space="preserve">FR30, NFR08</t>
  </si>
  <si>
    <t xml:space="preserve">FT-27</t>
  </si>
  <si>
    <t xml:space="preserve">Invalid delivery state transitions</t>
  </si>
  <si>
    <t xml:space="preserve">Open / accepted delivery</t>
  </si>
  <si>
    <t xml:space="preserve">1. Verify OTP before pickup  2. Pickup by non-carrier  3. Cancel after acceptance  4. Fail before pickup</t>
  </si>
  <si>
    <t xml:space="preserve">403 / 409 responses; state unchanged</t>
  </si>
  <si>
    <t xml:space="preserve">API: Non-carrier verify/pickup -&gt; 403; cancel after ACCEPTED -&gt; 409 'Invalid delivery state change from ACCEPTED to CANCELLED'; fail before pickup -&gt; 409</t>
  </si>
  <si>
    <t xml:space="preserve">FR28, NFR13</t>
  </si>
  <si>
    <t xml:space="preserve">FT-28</t>
  </si>
  <si>
    <t xml:space="preserve">Handover with QR code + photo + receiver details</t>
  </si>
  <si>
    <t xml:space="preserve">1. Carrier scans receiver's QR  2. Uploads parcel photo  3. Enters name, reg. no., room, block</t>
  </si>
  <si>
    <t xml:space="preserve">Kavya Reddy, 24BIT1005, 203, H</t>
  </si>
  <si>
    <t xml:space="preserve">Wrong details / forged QR / fake image rejected; correct data -&gt; DELIVERED with photo stored</t>
  </si>
  <si>
    <t xml:space="preserve">API: Wrong room -&gt; 400 'Verification failed: room number did not match'; forged QR -&gt; 400; fake image -&gt; 415; correct QR + photo + details -&gt; DELIVERED with photo stored</t>
  </si>
  <si>
    <t xml:space="preserve">FR29</t>
  </si>
  <si>
    <t xml:space="preserve">FT-29</t>
  </si>
  <si>
    <t xml:space="preserve">Gate delivery</t>
  </si>
  <si>
    <t xml:space="preserve">Parcel reservation with courier name and gate OTP</t>
  </si>
  <si>
    <t xml:space="preserve">Student; security staff</t>
  </si>
  <si>
    <t xml:space="preserve">1. Book parcel with courier name  2. Security marks arrived  3. Verifies student's OTP</t>
  </si>
  <si>
    <t xml:space="preserve">BlueDart, courier Ravi Kumar</t>
  </si>
  <si>
    <t xml:space="preserve">BOOKED -&gt; AT_GATE -&gt; COLLECTED; missing courier name, wrong OTP and non-security staff rejected</t>
  </si>
  <si>
    <t xml:space="preserve">API: Missing courier name -&gt; 422; GATE-00001 BOOKED with courier 'Ravi Kumar'; collect before arrival -&gt; 409; security marks AT_GATE; wrong OTP -&gt; 400; maintenance staff -&gt; 403; correct OTP -&gt; COLLECTED</t>
  </si>
  <si>
    <t xml:space="preserve">FR27, FR31</t>
  </si>
  <si>
    <t xml:space="preserve">FT-30</t>
  </si>
  <si>
    <t xml:space="preserve">Notices</t>
  </si>
  <si>
    <t xml:space="preserve">Warden publishes a notice</t>
  </si>
  <si>
    <t xml:space="preserve">Warden account</t>
  </si>
  <si>
    <t xml:space="preserve">1. Publish notice to Ladies Hostel East  2. Student of that hostel views board  3. Student of other hostel views</t>
  </si>
  <si>
    <t xml:space="preserve">'Fire drill on Friday' (URGENT)</t>
  </si>
  <si>
    <t xml:space="preserve">Notice visible to target hostel only; students notified; empty notice -&gt; 422</t>
  </si>
  <si>
    <t xml:space="preserve">API: Warden published URGENT notice to Ladies Hostel East; shown to Priya, hidden from Men's hostel student; 15 students notified; empty notice -&gt; 422
UI: notice published by warden; visible on student's notice board and in student's notifications</t>
  </si>
  <si>
    <t xml:space="preserve">FR34, FR17, FR33</t>
  </si>
  <si>
    <t xml:space="preserve">FT-31</t>
  </si>
  <si>
    <t xml:space="preserve">Unauthorised administrative actions by staff/wardens</t>
  </si>
  <si>
    <t xml:space="preserve">Warden, security, maintenance accounts</t>
  </si>
  <si>
    <t xml:space="preserve">1. Warden deactivates user / creates hostel  2. Security approves visitor  3. Maintenance views audit log</t>
  </si>
  <si>
    <t xml:space="preserve">403 for every attempt</t>
  </si>
  <si>
    <t xml:space="preserve">API: 403 for: warden deactivates user; warden creates hostel; security approves visitor; maintenance views audit log</t>
  </si>
  <si>
    <t xml:space="preserve">FT-32</t>
  </si>
  <si>
    <t xml:space="preserve">Persistence</t>
  </si>
  <si>
    <t xml:space="preserve">Data persists after page reload</t>
  </si>
  <si>
    <t xml:space="preserve">Complaint just created</t>
  </si>
  <si>
    <t xml:space="preserve">1. Create complaint in UI  2. Reload the page</t>
  </si>
  <si>
    <t xml:space="preserve">Complaint still listed with the same code</t>
  </si>
  <si>
    <t xml:space="preserve">UI: CMP-00008 created (status Open, forwarded to maintenance staff) and still listed after page reload</t>
  </si>
  <si>
    <t xml:space="preserve">NFR13</t>
  </si>
  <si>
    <t xml:space="preserve">UI (Playwright)</t>
  </si>
  <si>
    <t xml:space="preserve">FT-33</t>
  </si>
  <si>
    <t xml:space="preserve">Community</t>
  </si>
  <si>
    <t xml:space="preserve">Report and search lost &amp; found items</t>
  </si>
  <si>
    <t xml:space="preserve">1. Report lost umbrella  2. Search 'umbrella'  3. Another student closes it  4. Reporter closes it</t>
  </si>
  <si>
    <t xml:space="preserve">Black umbrella, R block lobby</t>
  </si>
  <si>
    <t xml:space="preserve">Item found by search; only reporter/warden can mark returned; future date rejected</t>
  </si>
  <si>
    <t xml:space="preserve">API: Lost item reported (201) and found by keyword search; future date -&gt; 422; only reporter can close (others 403)</t>
  </si>
  <si>
    <t xml:space="preserve">FR18</t>
  </si>
  <si>
    <t xml:space="preserve">FT-34</t>
  </si>
  <si>
    <t xml:space="preserve">Marketplace listing and sale</t>
  </si>
  <si>
    <t xml:space="preserve">Student accounts</t>
  </si>
  <si>
    <t xml:space="preserve">1. List item  2. Negative price  3. Non-seller marks sold  4. Seller marks sold  5. Sort by price</t>
  </si>
  <si>
    <t xml:space="preserve">Drafter set ₹250</t>
  </si>
  <si>
    <t xml:space="preserve">Listing created; invalid / unauthorised changes rejected; sold items hidden; sorting correct</t>
  </si>
  <si>
    <t xml:space="preserve">API: Listing 201; negative price -&gt; 422; non-seller mark sold -&gt; 403; sold item hidden from listings; price sort ascending verified</t>
  </si>
  <si>
    <t xml:space="preserve">FR26</t>
  </si>
  <si>
    <t xml:space="preserve">FT-35</t>
  </si>
  <si>
    <t xml:space="preserve">Notes sharing and private document vault</t>
  </si>
  <si>
    <t xml:space="preserve">1. Share note with PDF  2. Upload vault document  3. Other student tries to download  4. Upload .exe / &gt; 2 MB</t>
  </si>
  <si>
    <t xml:space="preserve">allot.pdf, x.exe, 2 MB+</t>
  </si>
  <si>
    <t xml:space="preserve">Notes readable by classmates; vault file only for owner (404 for others); bad files rejected</t>
  </si>
  <si>
    <t xml:space="preserve">API: Note with PDF shared and readable by classmates; vault file downloadable by owner, other student -&gt; 404; .exe -&gt; 415; &gt;2 MB -&gt; 413</t>
  </si>
  <si>
    <t xml:space="preserve">FR24, FR25</t>
  </si>
  <si>
    <t xml:space="preserve">FT-36</t>
  </si>
  <si>
    <t xml:space="preserve">Mess feedback</t>
  </si>
  <si>
    <t xml:space="preserve">Student account</t>
  </si>
  <si>
    <t xml:space="preserve">1. Rate breakfast  2. Rate same meal again  3. Rating out of range</t>
  </si>
  <si>
    <t xml:space="preserve">Food 4, service 5; rating 7</t>
  </si>
  <si>
    <t xml:space="preserve">Saved; duplicate -&gt; 409; invalid -&gt; 422; mess staff sees averages</t>
  </si>
  <si>
    <t xml:space="preserve">API: Feedback 201; same meal twice -&gt; 409; rating 7 -&gt; 422; mess staff summary shows BREAKFAST avg 3.0</t>
  </si>
  <si>
    <t xml:space="preserve">FR21</t>
  </si>
  <si>
    <t xml:space="preserve">FT-37</t>
  </si>
  <si>
    <t xml:space="preserve">Accommodation</t>
  </si>
  <si>
    <t xml:space="preserve">Roommate finder</t>
  </si>
  <si>
    <t xml:space="preserve">Students with preferences</t>
  </si>
  <si>
    <t xml:space="preserve">1. Open roommate finder  2. Warden calls the same API</t>
  </si>
  <si>
    <t xml:space="preserve">Priya's preferences</t>
  </si>
  <si>
    <t xml:space="preserve">Same-gender matches ranked by preference score; rooms with free beds; warden -&gt; 403</t>
  </si>
  <si>
    <t xml:space="preserve">API: 9 same-gender matches ranked by preference score (top Sneha Das 3/3); 46 rooms with free beds listed</t>
  </si>
  <si>
    <t xml:space="preserve">FR09</t>
  </si>
  <si>
    <t xml:space="preserve">FT-38</t>
  </si>
  <si>
    <t xml:space="preserve">Room allocation rules</t>
  </si>
  <si>
    <t xml:space="preserve">Admin; student without room</t>
  </si>
  <si>
    <t xml:space="preserve">1. Allocate female student to boys' hostel  2. To ladies' room  3. To full room  4. Student allocates  5. Duplicate room no.</t>
  </si>
  <si>
    <t xml:space="preserve">Room G-xxx</t>
  </si>
  <si>
    <t xml:space="preserve">Wrong hostel 400; valid 200; full 409; student 403; duplicate room 409</t>
  </si>
  <si>
    <t xml:space="preserve">API: Female student -&gt; boys' hostel 400; -&gt; G-104 200; full room -&gt; 409; student allocating -&gt; 403; duplicate room number -&gt; 409</t>
  </si>
  <si>
    <t xml:space="preserve">FR06, FR07, FR08</t>
  </si>
  <si>
    <t xml:space="preserve">FT-39</t>
  </si>
  <si>
    <t xml:space="preserve">Reports</t>
  </si>
  <si>
    <t xml:space="preserve">Admin reports match stored data and export CSV</t>
  </si>
  <si>
    <t xml:space="preserve">Admin account</t>
  </si>
  <si>
    <t xml:space="preserve">1. Open reports  2. Compare totals with database  3. Export complaints CSV  4. Warden opens reports</t>
  </si>
  <si>
    <t xml:space="preserve">Report totals equal DB counts; CSV rows = complaints; warden -&gt; 403</t>
  </si>
  <si>
    <t xml:space="preserve">API: Report complaint total 7 = DB count; students 57 = DB count; CSV export has 7 rows + header; warden -&gt; 403</t>
  </si>
  <si>
    <t xml:space="preserve">FR19, FR35</t>
  </si>
  <si>
    <t xml:space="preserve">FT-40</t>
  </si>
  <si>
    <t xml:space="preserve">Messaging</t>
  </si>
  <si>
    <t xml:space="preserve">In-app messaging between student and warden</t>
  </si>
  <si>
    <t xml:space="preserve">Student and warden</t>
  </si>
  <si>
    <t xml:space="preserve">1. Student sends message  2. Warden opens conversation  3. Empty message</t>
  </si>
  <si>
    <t xml:space="preserve">'Can my parents visit on Sunday?'</t>
  </si>
  <si>
    <t xml:space="preserve">Message delivered with unread count, marked read when opened; empty -&gt; 422</t>
  </si>
  <si>
    <t xml:space="preserve">API: Student -&gt; warden message delivered (unread=1), shown in thread, marked read on open (unread=0); empty message -&gt; 422</t>
  </si>
  <si>
    <t xml:space="preserve">FR32</t>
  </si>
  <si>
    <t xml:space="preserve">FT-41</t>
  </si>
  <si>
    <t xml:space="preserve">Logout invalidates the session</t>
  </si>
  <si>
    <t xml:space="preserve">Logged-in user</t>
  </si>
  <si>
    <t xml:space="preserve">1. Log out  2. Reuse old token / open protected page</t>
  </si>
  <si>
    <t xml:space="preserve">Token rejected with 401; UI redirects to login</t>
  </si>
  <si>
    <t xml:space="preserve">API: Logout 200; reusing the same token -&gt; 401 'Session has been logged out'
UI: logout returns to /login; opening /complaints afterwards redirects to /login</t>
  </si>
  <si>
    <t xml:space="preserve">FT-42</t>
  </si>
  <si>
    <t xml:space="preserve">Administrator registers warden, staff and admin accounts</t>
  </si>
  <si>
    <t xml:space="preserve">Logged in as admin</t>
  </si>
  <si>
    <t xml:space="preserve">1. Create WARDEN, STAFF (security) and ADMIN users  2. Each logs in  3. Staff without type  4. Duplicate email</t>
  </si>
  <si>
    <t xml:space="preserve">new.warden@vista.demo / Strong123</t>
  </si>
  <si>
    <t xml:space="preserve">Accounts created with the right role and can log in; invalid / duplicate rejected</t>
  </si>
  <si>
    <t xml:space="preserve">API: Admin created WARDEN, STAFF (SECURITY) and ADMIN accounts (201) and each could log in; staff without type -&gt; 422; duplicate email -&gt; 409</t>
  </si>
  <si>
    <t xml:space="preserve">FR02, FR03</t>
  </si>
  <si>
    <t xml:space="preserve">FT-43</t>
  </si>
  <si>
    <t xml:space="preserve">Hostel map and hostel structure</t>
  </si>
  <si>
    <t xml:space="preserve">1. Open Hostel Map  2. Check blocks, mess, gates, service points  3. Check hostel occupancy  4. Call without login</t>
  </si>
  <si>
    <t xml:space="preserve">All location types shown; hostels list blocks and occupancy; unauthenticated -&gt; 401</t>
  </si>
  <si>
    <t xml:space="preserve">API: Map returns 12 locations (BLOCK, GATE, MESS, SERVICE); 4 hostels with blocks and live occupancy; unauthenticated -&gt; 401</t>
  </si>
  <si>
    <t xml:space="preserve">FR20, FR06, FR07</t>
  </si>
  <si>
    <t xml:space="preserve">VISTA – Functional Test Cases – Summary</t>
  </si>
  <si>
    <t xml:space="preserve">Total test cases</t>
  </si>
  <si>
    <t xml:space="preserve">Passed</t>
  </si>
  <si>
    <t xml:space="preserve">Failed</t>
  </si>
  <si>
    <t xml:space="preserve">Blocked</t>
  </si>
  <si>
    <t xml:space="preserve">Not Run</t>
  </si>
  <si>
    <t xml:space="preserve">Executed (Pass + Fail)</t>
  </si>
  <si>
    <t xml:space="preserve">Pass percentage</t>
  </si>
  <si>
    <t xml:space="preserve">Pass percentage = Passed ÷ Executed. Executed counts only Pass and Fail; Blocked and Not Run are shown separately.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</si>
</sst>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3A6B"/>
      <name val="Arial"/>
      <family val="0"/>
      <charset val="1"/>
    </font>
    <font>
      <i val="true"/>
      <sz val="9"/>
      <color rgb="FF5B647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b val="true"/>
      <sz val="13"/>
      <color rgb="FF1B3A6B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9C7DD"/>
      </left>
      <right style="thin">
        <color rgb="FFB9C7DD"/>
      </right>
      <top style="thin">
        <color rgb="FFB9C7DD"/>
      </top>
      <bottom style="thin">
        <color rgb="FFB9C7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B3A6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2F3E5"/>
          <bgColor rgb="FF000000"/>
        </patternFill>
      </fill>
    </dxf>
    <dxf>
      <fill>
        <patternFill patternType="solid">
          <fgColor rgb="FF1E7B34"/>
          <bgColor rgb="FF000000"/>
        </patternFill>
      </fill>
    </dxf>
    <dxf>
      <font>
        <name val="Arial"/>
        <charset val="1"/>
        <family val="0"/>
        <b val="1"/>
        <color rgb="FF1E7B34"/>
      </font>
      <fill>
        <patternFill>
          <bgColor rgb="FFE2F3E5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DE3E1"/>
        </patternFill>
      </fill>
    </dxf>
    <dxf>
      <font>
        <name val="Arial"/>
        <charset val="1"/>
        <family val="0"/>
        <b val="1"/>
        <color rgb="FF4B5563"/>
      </font>
      <fill>
        <patternFill>
          <bgColor rgb="FFECEEF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E7B34"/>
      <rgbColor rgb="FF000080"/>
      <rgbColor rgb="FF808000"/>
      <rgbColor rgb="FF800080"/>
      <rgbColor rgb="FF008080"/>
      <rgbColor rgb="FFB9C7DD"/>
      <rgbColor rgb="FF808080"/>
      <rgbColor rgb="FF9999FF"/>
      <rgbColor rgb="FF993366"/>
      <rgbColor rgb="FFECEE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3E5"/>
      <rgbColor rgb="FFFFFF99"/>
      <rgbColor rgb="FF99CCFF"/>
      <rgbColor rgb="FFFF99CC"/>
      <rgbColor rgb="FFCC99FF"/>
      <rgbColor rgb="FFFDE3E1"/>
      <rgbColor rgb="FF3366FF"/>
      <rgbColor rgb="FF33CCCC"/>
      <rgbColor rgb="FF99CC00"/>
      <rgbColor rgb="FFFFCC00"/>
      <rgbColor rgb="FFFF9900"/>
      <rgbColor rgb="FFFF6600"/>
      <rgbColor rgb="FF5B6475"/>
      <rgbColor rgb="FF969696"/>
      <rgbColor rgb="FF1B3A6B"/>
      <rgbColor rgb="FF339966"/>
      <rgbColor rgb="FF003300"/>
      <rgbColor rgb="FF333300"/>
      <rgbColor rgb="FFB42318"/>
      <rgbColor rgb="FF993366"/>
      <rgbColor rgb="FF333399"/>
      <rgbColor rgb="FF4B556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7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6"/>
    <col collapsed="false" customWidth="true" hidden="false" outlineLevel="0" max="3" min="3" style="0" width="34"/>
    <col collapsed="false" customWidth="true" hidden="false" outlineLevel="0" max="4" min="4" style="0" width="24"/>
    <col collapsed="false" customWidth="true" hidden="false" outlineLevel="0" max="5" min="5" style="0" width="42"/>
    <col collapsed="false" customWidth="true" hidden="false" outlineLevel="0" max="6" min="6" style="0" width="26"/>
    <col collapsed="false" customWidth="true" hidden="false" outlineLevel="0" max="7" min="7" style="0" width="38"/>
    <col collapsed="false" customWidth="true" hidden="false" outlineLevel="0" max="8" min="8" style="0" width="70"/>
    <col collapsed="false" customWidth="true" hidden="false" outlineLevel="0" max="9" min="9" style="0" width="10"/>
    <col collapsed="false" customWidth="true" hidden="false" outlineLevel="0" max="11" min="10" style="0" width="14"/>
    <col collapsed="false" customWidth="true" hidden="false" outlineLevel="0" max="12" min="12" style="0" width="22"/>
    <col collapsed="false" customWidth="true" hidden="false" outlineLevel="0" max="13" min="13" style="0" width="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</row>
    <row r="5" customFormat="false" ht="22.35" hidden="false" customHeight="false" outlineLevel="0" collapsed="false">
      <c r="A5" s="4" t="s">
        <v>15</v>
      </c>
      <c r="B5" s="5" t="s">
        <v>16</v>
      </c>
      <c r="C5" s="5" t="s">
        <v>17</v>
      </c>
      <c r="D5" s="5" t="s">
        <v>18</v>
      </c>
      <c r="E5" s="5" t="s">
        <v>19</v>
      </c>
      <c r="F5" s="5" t="s">
        <v>20</v>
      </c>
      <c r="G5" s="5" t="s">
        <v>21</v>
      </c>
      <c r="H5" s="5" t="s">
        <v>22</v>
      </c>
      <c r="I5" s="5" t="s">
        <v>23</v>
      </c>
      <c r="J5" s="5"/>
      <c r="K5" s="5" t="s">
        <v>24</v>
      </c>
      <c r="L5" s="5" t="s">
        <v>25</v>
      </c>
      <c r="M5" s="5" t="s">
        <v>26</v>
      </c>
    </row>
    <row r="6" customFormat="false" ht="32.8" hidden="false" customHeight="false" outlineLevel="0" collapsed="false">
      <c r="A6" s="4" t="s">
        <v>27</v>
      </c>
      <c r="B6" s="5" t="s">
        <v>16</v>
      </c>
      <c r="C6" s="5" t="s">
        <v>28</v>
      </c>
      <c r="D6" s="5" t="s">
        <v>29</v>
      </c>
      <c r="E6" s="5" t="s">
        <v>30</v>
      </c>
      <c r="F6" s="5" t="s">
        <v>31</v>
      </c>
      <c r="G6" s="5" t="s">
        <v>32</v>
      </c>
      <c r="H6" s="5" t="s">
        <v>33</v>
      </c>
      <c r="I6" s="5" t="s">
        <v>23</v>
      </c>
      <c r="J6" s="5"/>
      <c r="K6" s="5" t="s">
        <v>24</v>
      </c>
      <c r="L6" s="5" t="s">
        <v>25</v>
      </c>
      <c r="M6" s="5" t="s">
        <v>26</v>
      </c>
    </row>
    <row r="7" customFormat="false" ht="43.25" hidden="false" customHeight="false" outlineLevel="0" collapsed="false">
      <c r="A7" s="4" t="s">
        <v>34</v>
      </c>
      <c r="B7" s="5" t="s">
        <v>16</v>
      </c>
      <c r="C7" s="5" t="s">
        <v>35</v>
      </c>
      <c r="D7" s="5" t="s">
        <v>36</v>
      </c>
      <c r="E7" s="5" t="s">
        <v>37</v>
      </c>
      <c r="F7" s="5" t="s">
        <v>38</v>
      </c>
      <c r="G7" s="5" t="s">
        <v>39</v>
      </c>
      <c r="H7" s="5" t="s">
        <v>40</v>
      </c>
      <c r="I7" s="5" t="s">
        <v>23</v>
      </c>
      <c r="J7" s="5"/>
      <c r="K7" s="5" t="s">
        <v>41</v>
      </c>
      <c r="L7" s="5" t="s">
        <v>25</v>
      </c>
      <c r="M7" s="5" t="s">
        <v>26</v>
      </c>
    </row>
    <row r="8" customFormat="false" ht="32.8" hidden="false" customHeight="false" outlineLevel="0" collapsed="false">
      <c r="A8" s="4" t="s">
        <v>42</v>
      </c>
      <c r="B8" s="5" t="s">
        <v>43</v>
      </c>
      <c r="C8" s="5" t="s">
        <v>44</v>
      </c>
      <c r="D8" s="5" t="s">
        <v>45</v>
      </c>
      <c r="E8" s="5" t="s">
        <v>46</v>
      </c>
      <c r="F8" s="5" t="s">
        <v>47</v>
      </c>
      <c r="G8" s="5" t="s">
        <v>48</v>
      </c>
      <c r="H8" s="5" t="s">
        <v>49</v>
      </c>
      <c r="I8" s="5" t="s">
        <v>23</v>
      </c>
      <c r="J8" s="5"/>
      <c r="K8" s="5" t="s">
        <v>50</v>
      </c>
      <c r="L8" s="5" t="s">
        <v>25</v>
      </c>
      <c r="M8" s="5" t="s">
        <v>26</v>
      </c>
    </row>
    <row r="9" customFormat="false" ht="22.35" hidden="false" customHeight="false" outlineLevel="0" collapsed="false">
      <c r="A9" s="4" t="s">
        <v>51</v>
      </c>
      <c r="B9" s="5" t="s">
        <v>52</v>
      </c>
      <c r="C9" s="5" t="s">
        <v>53</v>
      </c>
      <c r="D9" s="5" t="s">
        <v>54</v>
      </c>
      <c r="E9" s="5" t="s">
        <v>55</v>
      </c>
      <c r="F9" s="5" t="s">
        <v>56</v>
      </c>
      <c r="G9" s="5" t="s">
        <v>57</v>
      </c>
      <c r="H9" s="5" t="s">
        <v>58</v>
      </c>
      <c r="I9" s="5" t="s">
        <v>23</v>
      </c>
      <c r="J9" s="5"/>
      <c r="K9" s="5" t="s">
        <v>59</v>
      </c>
      <c r="L9" s="5" t="s">
        <v>60</v>
      </c>
      <c r="M9" s="5" t="s">
        <v>26</v>
      </c>
    </row>
    <row r="10" customFormat="false" ht="74.6" hidden="false" customHeight="false" outlineLevel="0" collapsed="false">
      <c r="A10" s="4" t="s">
        <v>61</v>
      </c>
      <c r="B10" s="5" t="s">
        <v>52</v>
      </c>
      <c r="C10" s="5" t="s">
        <v>62</v>
      </c>
      <c r="D10" s="5" t="s">
        <v>63</v>
      </c>
      <c r="E10" s="5" t="s">
        <v>64</v>
      </c>
      <c r="F10" s="5" t="s">
        <v>65</v>
      </c>
      <c r="G10" s="5" t="s">
        <v>66</v>
      </c>
      <c r="H10" s="5" t="s">
        <v>67</v>
      </c>
      <c r="I10" s="5" t="s">
        <v>23</v>
      </c>
      <c r="J10" s="5" t="s">
        <v>68</v>
      </c>
      <c r="K10" s="5" t="s">
        <v>59</v>
      </c>
      <c r="L10" s="5" t="s">
        <v>25</v>
      </c>
      <c r="M10" s="5" t="s">
        <v>26</v>
      </c>
    </row>
    <row r="11" customFormat="false" ht="22.35" hidden="false" customHeight="false" outlineLevel="0" collapsed="false">
      <c r="A11" s="4" t="s">
        <v>69</v>
      </c>
      <c r="B11" s="5" t="s">
        <v>70</v>
      </c>
      <c r="C11" s="5" t="s">
        <v>71</v>
      </c>
      <c r="D11" s="5" t="s">
        <v>45</v>
      </c>
      <c r="E11" s="5" t="s">
        <v>72</v>
      </c>
      <c r="F11" s="5" t="s">
        <v>73</v>
      </c>
      <c r="G11" s="5" t="s">
        <v>74</v>
      </c>
      <c r="H11" s="5" t="s">
        <v>75</v>
      </c>
      <c r="I11" s="5" t="s">
        <v>23</v>
      </c>
      <c r="J11" s="5"/>
      <c r="K11" s="5" t="s">
        <v>76</v>
      </c>
      <c r="L11" s="5" t="s">
        <v>25</v>
      </c>
      <c r="M11" s="5" t="s">
        <v>26</v>
      </c>
    </row>
    <row r="12" customFormat="false" ht="43.25" hidden="false" customHeight="false" outlineLevel="0" collapsed="false">
      <c r="A12" s="4" t="s">
        <v>77</v>
      </c>
      <c r="B12" s="5" t="s">
        <v>78</v>
      </c>
      <c r="C12" s="5" t="s">
        <v>79</v>
      </c>
      <c r="D12" s="5" t="s">
        <v>80</v>
      </c>
      <c r="E12" s="5" t="s">
        <v>81</v>
      </c>
      <c r="F12" s="5" t="s">
        <v>82</v>
      </c>
      <c r="G12" s="5" t="s">
        <v>83</v>
      </c>
      <c r="H12" s="5" t="s">
        <v>84</v>
      </c>
      <c r="I12" s="5" t="s">
        <v>23</v>
      </c>
      <c r="J12" s="5" t="s">
        <v>68</v>
      </c>
      <c r="K12" s="5" t="s">
        <v>85</v>
      </c>
      <c r="L12" s="5" t="s">
        <v>25</v>
      </c>
      <c r="M12" s="5" t="s">
        <v>26</v>
      </c>
    </row>
    <row r="13" customFormat="false" ht="32.8" hidden="false" customHeight="false" outlineLevel="0" collapsed="false">
      <c r="A13" s="4" t="s">
        <v>86</v>
      </c>
      <c r="B13" s="5" t="s">
        <v>78</v>
      </c>
      <c r="C13" s="5" t="s">
        <v>87</v>
      </c>
      <c r="D13" s="5" t="s">
        <v>45</v>
      </c>
      <c r="E13" s="5" t="s">
        <v>88</v>
      </c>
      <c r="F13" s="5" t="s">
        <v>89</v>
      </c>
      <c r="G13" s="5" t="s">
        <v>90</v>
      </c>
      <c r="H13" s="5" t="s">
        <v>91</v>
      </c>
      <c r="I13" s="5" t="s">
        <v>23</v>
      </c>
      <c r="J13" s="5"/>
      <c r="K13" s="5" t="s">
        <v>92</v>
      </c>
      <c r="L13" s="5" t="s">
        <v>25</v>
      </c>
      <c r="M13" s="5" t="s">
        <v>26</v>
      </c>
    </row>
    <row r="14" customFormat="false" ht="22.35" hidden="false" customHeight="false" outlineLevel="0" collapsed="false">
      <c r="A14" s="4" t="s">
        <v>93</v>
      </c>
      <c r="B14" s="5" t="s">
        <v>78</v>
      </c>
      <c r="C14" s="5" t="s">
        <v>94</v>
      </c>
      <c r="D14" s="5" t="s">
        <v>45</v>
      </c>
      <c r="E14" s="5" t="s">
        <v>95</v>
      </c>
      <c r="F14" s="5" t="s">
        <v>96</v>
      </c>
      <c r="G14" s="5" t="s">
        <v>97</v>
      </c>
      <c r="H14" s="5" t="s">
        <v>98</v>
      </c>
      <c r="I14" s="5" t="s">
        <v>23</v>
      </c>
      <c r="J14" s="5"/>
      <c r="K14" s="5" t="s">
        <v>99</v>
      </c>
      <c r="L14" s="5" t="s">
        <v>60</v>
      </c>
      <c r="M14" s="5" t="s">
        <v>26</v>
      </c>
    </row>
    <row r="15" customFormat="false" ht="22.35" hidden="false" customHeight="false" outlineLevel="0" collapsed="false">
      <c r="A15" s="4" t="s">
        <v>100</v>
      </c>
      <c r="B15" s="5" t="s">
        <v>78</v>
      </c>
      <c r="C15" s="5" t="s">
        <v>101</v>
      </c>
      <c r="D15" s="5" t="s">
        <v>102</v>
      </c>
      <c r="E15" s="5" t="s">
        <v>103</v>
      </c>
      <c r="F15" s="5" t="s">
        <v>104</v>
      </c>
      <c r="G15" s="5" t="s">
        <v>105</v>
      </c>
      <c r="H15" s="5" t="s">
        <v>106</v>
      </c>
      <c r="I15" s="5" t="s">
        <v>23</v>
      </c>
      <c r="J15" s="5"/>
      <c r="K15" s="5" t="s">
        <v>107</v>
      </c>
      <c r="L15" s="5" t="s">
        <v>60</v>
      </c>
      <c r="M15" s="5" t="s">
        <v>26</v>
      </c>
    </row>
    <row r="16" customFormat="false" ht="32.8" hidden="false" customHeight="false" outlineLevel="0" collapsed="false">
      <c r="A16" s="4" t="s">
        <v>108</v>
      </c>
      <c r="B16" s="5" t="s">
        <v>78</v>
      </c>
      <c r="C16" s="5" t="s">
        <v>109</v>
      </c>
      <c r="D16" s="5" t="s">
        <v>110</v>
      </c>
      <c r="E16" s="5" t="s">
        <v>111</v>
      </c>
      <c r="F16" s="5" t="s">
        <v>112</v>
      </c>
      <c r="G16" s="5" t="s">
        <v>113</v>
      </c>
      <c r="H16" s="5" t="s">
        <v>114</v>
      </c>
      <c r="I16" s="5" t="s">
        <v>23</v>
      </c>
      <c r="J16" s="5"/>
      <c r="K16" s="5" t="s">
        <v>115</v>
      </c>
      <c r="L16" s="5" t="s">
        <v>60</v>
      </c>
      <c r="M16" s="5" t="s">
        <v>26</v>
      </c>
    </row>
    <row r="17" customFormat="false" ht="32.8" hidden="false" customHeight="false" outlineLevel="0" collapsed="false">
      <c r="A17" s="4" t="s">
        <v>116</v>
      </c>
      <c r="B17" s="5" t="s">
        <v>78</v>
      </c>
      <c r="C17" s="5" t="s">
        <v>117</v>
      </c>
      <c r="D17" s="5" t="s">
        <v>118</v>
      </c>
      <c r="E17" s="5" t="s">
        <v>119</v>
      </c>
      <c r="F17" s="5" t="s">
        <v>120</v>
      </c>
      <c r="G17" s="5" t="s">
        <v>121</v>
      </c>
      <c r="H17" s="5" t="s">
        <v>122</v>
      </c>
      <c r="I17" s="5" t="s">
        <v>23</v>
      </c>
      <c r="J17" s="5"/>
      <c r="K17" s="5" t="s">
        <v>123</v>
      </c>
      <c r="L17" s="5" t="s">
        <v>60</v>
      </c>
      <c r="M17" s="5" t="s">
        <v>26</v>
      </c>
    </row>
    <row r="18" customFormat="false" ht="32.8" hidden="false" customHeight="false" outlineLevel="0" collapsed="false">
      <c r="A18" s="4" t="s">
        <v>124</v>
      </c>
      <c r="B18" s="5" t="s">
        <v>125</v>
      </c>
      <c r="C18" s="5" t="s">
        <v>126</v>
      </c>
      <c r="D18" s="5" t="s">
        <v>45</v>
      </c>
      <c r="E18" s="5" t="s">
        <v>127</v>
      </c>
      <c r="F18" s="5" t="s">
        <v>128</v>
      </c>
      <c r="G18" s="5" t="s">
        <v>129</v>
      </c>
      <c r="H18" s="5" t="s">
        <v>130</v>
      </c>
      <c r="I18" s="5" t="s">
        <v>23</v>
      </c>
      <c r="J18" s="5"/>
      <c r="K18" s="5" t="s">
        <v>131</v>
      </c>
      <c r="L18" s="5" t="s">
        <v>25</v>
      </c>
      <c r="M18" s="5" t="s">
        <v>26</v>
      </c>
    </row>
    <row r="19" customFormat="false" ht="43.25" hidden="false" customHeight="false" outlineLevel="0" collapsed="false">
      <c r="A19" s="4" t="s">
        <v>132</v>
      </c>
      <c r="B19" s="5" t="s">
        <v>125</v>
      </c>
      <c r="C19" s="5" t="s">
        <v>133</v>
      </c>
      <c r="D19" s="5" t="s">
        <v>134</v>
      </c>
      <c r="E19" s="5" t="s">
        <v>135</v>
      </c>
      <c r="F19" s="5" t="s">
        <v>136</v>
      </c>
      <c r="G19" s="5" t="s">
        <v>137</v>
      </c>
      <c r="H19" s="5" t="s">
        <v>138</v>
      </c>
      <c r="I19" s="5" t="s">
        <v>23</v>
      </c>
      <c r="J19" s="5"/>
      <c r="K19" s="5" t="s">
        <v>139</v>
      </c>
      <c r="L19" s="5" t="s">
        <v>25</v>
      </c>
      <c r="M19" s="5" t="s">
        <v>26</v>
      </c>
    </row>
    <row r="20" customFormat="false" ht="22.35" hidden="false" customHeight="false" outlineLevel="0" collapsed="false">
      <c r="A20" s="4" t="s">
        <v>140</v>
      </c>
      <c r="B20" s="5" t="s">
        <v>125</v>
      </c>
      <c r="C20" s="5" t="s">
        <v>141</v>
      </c>
      <c r="D20" s="5" t="s">
        <v>134</v>
      </c>
      <c r="E20" s="5" t="s">
        <v>142</v>
      </c>
      <c r="F20" s="5" t="s">
        <v>143</v>
      </c>
      <c r="G20" s="5" t="s">
        <v>144</v>
      </c>
      <c r="H20" s="5" t="s">
        <v>145</v>
      </c>
      <c r="I20" s="5" t="s">
        <v>23</v>
      </c>
      <c r="J20" s="5"/>
      <c r="K20" s="5" t="s">
        <v>146</v>
      </c>
      <c r="L20" s="5" t="s">
        <v>60</v>
      </c>
      <c r="M20" s="5" t="s">
        <v>26</v>
      </c>
    </row>
    <row r="21" customFormat="false" ht="64.15" hidden="false" customHeight="false" outlineLevel="0" collapsed="false">
      <c r="A21" s="4" t="s">
        <v>147</v>
      </c>
      <c r="B21" s="5" t="s">
        <v>125</v>
      </c>
      <c r="C21" s="5" t="s">
        <v>148</v>
      </c>
      <c r="D21" s="5" t="s">
        <v>45</v>
      </c>
      <c r="E21" s="5" t="s">
        <v>149</v>
      </c>
      <c r="F21" s="5" t="s">
        <v>150</v>
      </c>
      <c r="G21" s="5" t="s">
        <v>151</v>
      </c>
      <c r="H21" s="5" t="s">
        <v>152</v>
      </c>
      <c r="I21" s="5" t="s">
        <v>23</v>
      </c>
      <c r="J21" s="5"/>
      <c r="K21" s="5" t="s">
        <v>131</v>
      </c>
      <c r="L21" s="5" t="s">
        <v>25</v>
      </c>
      <c r="M21" s="5" t="s">
        <v>26</v>
      </c>
    </row>
    <row r="22" customFormat="false" ht="22.35" hidden="false" customHeight="false" outlineLevel="0" collapsed="false">
      <c r="A22" s="4" t="s">
        <v>153</v>
      </c>
      <c r="B22" s="5" t="s">
        <v>154</v>
      </c>
      <c r="C22" s="5" t="s">
        <v>155</v>
      </c>
      <c r="D22" s="5" t="s">
        <v>156</v>
      </c>
      <c r="E22" s="5" t="s">
        <v>157</v>
      </c>
      <c r="F22" s="5" t="s">
        <v>158</v>
      </c>
      <c r="G22" s="5" t="s">
        <v>159</v>
      </c>
      <c r="H22" s="5" t="s">
        <v>160</v>
      </c>
      <c r="I22" s="5" t="s">
        <v>23</v>
      </c>
      <c r="J22" s="5"/>
      <c r="K22" s="5" t="s">
        <v>161</v>
      </c>
      <c r="L22" s="5" t="s">
        <v>60</v>
      </c>
      <c r="M22" s="5" t="s">
        <v>26</v>
      </c>
    </row>
    <row r="23" customFormat="false" ht="22.35" hidden="false" customHeight="false" outlineLevel="0" collapsed="false">
      <c r="A23" s="4" t="s">
        <v>162</v>
      </c>
      <c r="B23" s="5" t="s">
        <v>154</v>
      </c>
      <c r="C23" s="5" t="s">
        <v>163</v>
      </c>
      <c r="D23" s="5" t="s">
        <v>80</v>
      </c>
      <c r="E23" s="5" t="s">
        <v>164</v>
      </c>
      <c r="F23" s="5" t="s">
        <v>165</v>
      </c>
      <c r="G23" s="5" t="s">
        <v>166</v>
      </c>
      <c r="H23" s="5" t="s">
        <v>167</v>
      </c>
      <c r="I23" s="5" t="s">
        <v>23</v>
      </c>
      <c r="J23" s="5"/>
      <c r="K23" s="5" t="s">
        <v>168</v>
      </c>
      <c r="L23" s="5" t="s">
        <v>60</v>
      </c>
      <c r="M23" s="5" t="s">
        <v>26</v>
      </c>
    </row>
    <row r="24" customFormat="false" ht="43.25" hidden="false" customHeight="false" outlineLevel="0" collapsed="false">
      <c r="A24" s="4" t="s">
        <v>169</v>
      </c>
      <c r="B24" s="5" t="s">
        <v>170</v>
      </c>
      <c r="C24" s="5" t="s">
        <v>171</v>
      </c>
      <c r="D24" s="5" t="s">
        <v>172</v>
      </c>
      <c r="E24" s="5" t="s">
        <v>173</v>
      </c>
      <c r="F24" s="5" t="s">
        <v>174</v>
      </c>
      <c r="G24" s="5" t="s">
        <v>175</v>
      </c>
      <c r="H24" s="5" t="s">
        <v>176</v>
      </c>
      <c r="I24" s="5" t="s">
        <v>23</v>
      </c>
      <c r="J24" s="5"/>
      <c r="K24" s="5" t="s">
        <v>177</v>
      </c>
      <c r="L24" s="5" t="s">
        <v>25</v>
      </c>
      <c r="M24" s="5" t="s">
        <v>26</v>
      </c>
    </row>
    <row r="25" customFormat="false" ht="22.35" hidden="false" customHeight="false" outlineLevel="0" collapsed="false">
      <c r="A25" s="4" t="s">
        <v>178</v>
      </c>
      <c r="B25" s="5" t="s">
        <v>170</v>
      </c>
      <c r="C25" s="5" t="s">
        <v>179</v>
      </c>
      <c r="D25" s="5" t="s">
        <v>180</v>
      </c>
      <c r="E25" s="5" t="s">
        <v>181</v>
      </c>
      <c r="F25" s="5" t="s">
        <v>182</v>
      </c>
      <c r="G25" s="5" t="s">
        <v>183</v>
      </c>
      <c r="H25" s="5" t="s">
        <v>184</v>
      </c>
      <c r="I25" s="5" t="s">
        <v>23</v>
      </c>
      <c r="J25" s="5"/>
      <c r="K25" s="5" t="s">
        <v>185</v>
      </c>
      <c r="L25" s="5" t="s">
        <v>60</v>
      </c>
      <c r="M25" s="5" t="s">
        <v>26</v>
      </c>
    </row>
    <row r="26" customFormat="false" ht="64.15" hidden="false" customHeight="false" outlineLevel="0" collapsed="false">
      <c r="A26" s="4" t="s">
        <v>186</v>
      </c>
      <c r="B26" s="5" t="s">
        <v>187</v>
      </c>
      <c r="C26" s="5" t="s">
        <v>188</v>
      </c>
      <c r="D26" s="5" t="s">
        <v>189</v>
      </c>
      <c r="E26" s="5" t="s">
        <v>190</v>
      </c>
      <c r="F26" s="5" t="s">
        <v>191</v>
      </c>
      <c r="G26" s="5" t="s">
        <v>192</v>
      </c>
      <c r="H26" s="5" t="s">
        <v>193</v>
      </c>
      <c r="I26" s="5" t="s">
        <v>23</v>
      </c>
      <c r="J26" s="5"/>
      <c r="K26" s="5" t="s">
        <v>194</v>
      </c>
      <c r="L26" s="5" t="s">
        <v>25</v>
      </c>
      <c r="M26" s="5" t="s">
        <v>26</v>
      </c>
    </row>
    <row r="27" customFormat="false" ht="53.7" hidden="false" customHeight="false" outlineLevel="0" collapsed="false">
      <c r="A27" s="4" t="s">
        <v>195</v>
      </c>
      <c r="B27" s="5" t="s">
        <v>187</v>
      </c>
      <c r="C27" s="5" t="s">
        <v>196</v>
      </c>
      <c r="D27" s="5" t="s">
        <v>197</v>
      </c>
      <c r="E27" s="5" t="s">
        <v>198</v>
      </c>
      <c r="F27" s="5" t="s">
        <v>199</v>
      </c>
      <c r="G27" s="5" t="s">
        <v>200</v>
      </c>
      <c r="H27" s="5" t="s">
        <v>201</v>
      </c>
      <c r="I27" s="5" t="s">
        <v>23</v>
      </c>
      <c r="J27" s="5"/>
      <c r="K27" s="5" t="s">
        <v>194</v>
      </c>
      <c r="L27" s="5" t="s">
        <v>25</v>
      </c>
      <c r="M27" s="5" t="s">
        <v>26</v>
      </c>
    </row>
    <row r="28" customFormat="false" ht="53.7" hidden="false" customHeight="false" outlineLevel="0" collapsed="false">
      <c r="A28" s="4" t="s">
        <v>202</v>
      </c>
      <c r="B28" s="5" t="s">
        <v>187</v>
      </c>
      <c r="C28" s="5" t="s">
        <v>203</v>
      </c>
      <c r="D28" s="5" t="s">
        <v>204</v>
      </c>
      <c r="E28" s="5" t="s">
        <v>205</v>
      </c>
      <c r="F28" s="5" t="s">
        <v>206</v>
      </c>
      <c r="G28" s="5" t="s">
        <v>207</v>
      </c>
      <c r="H28" s="5" t="s">
        <v>208</v>
      </c>
      <c r="I28" s="5" t="s">
        <v>23</v>
      </c>
      <c r="J28" s="5"/>
      <c r="K28" s="5" t="s">
        <v>209</v>
      </c>
      <c r="L28" s="5" t="s">
        <v>25</v>
      </c>
      <c r="M28" s="5" t="s">
        <v>26</v>
      </c>
    </row>
    <row r="29" customFormat="false" ht="22.35" hidden="false" customHeight="false" outlineLevel="0" collapsed="false">
      <c r="A29" s="4" t="s">
        <v>210</v>
      </c>
      <c r="B29" s="5" t="s">
        <v>187</v>
      </c>
      <c r="C29" s="5" t="s">
        <v>211</v>
      </c>
      <c r="D29" s="5" t="s">
        <v>204</v>
      </c>
      <c r="E29" s="5" t="s">
        <v>212</v>
      </c>
      <c r="F29" s="5" t="s">
        <v>213</v>
      </c>
      <c r="G29" s="5" t="s">
        <v>214</v>
      </c>
      <c r="H29" s="5" t="s">
        <v>215</v>
      </c>
      <c r="I29" s="5" t="s">
        <v>23</v>
      </c>
      <c r="J29" s="5"/>
      <c r="K29" s="5" t="s">
        <v>209</v>
      </c>
      <c r="L29" s="5" t="s">
        <v>60</v>
      </c>
      <c r="M29" s="5" t="s">
        <v>26</v>
      </c>
    </row>
    <row r="30" customFormat="false" ht="32.8" hidden="false" customHeight="false" outlineLevel="0" collapsed="false">
      <c r="A30" s="4" t="s">
        <v>216</v>
      </c>
      <c r="B30" s="5" t="s">
        <v>187</v>
      </c>
      <c r="C30" s="5" t="s">
        <v>217</v>
      </c>
      <c r="D30" s="5" t="s">
        <v>204</v>
      </c>
      <c r="E30" s="5" t="s">
        <v>218</v>
      </c>
      <c r="F30" s="5" t="s">
        <v>219</v>
      </c>
      <c r="G30" s="5" t="s">
        <v>220</v>
      </c>
      <c r="H30" s="5" t="s">
        <v>221</v>
      </c>
      <c r="I30" s="5" t="s">
        <v>23</v>
      </c>
      <c r="J30" s="5"/>
      <c r="K30" s="5" t="s">
        <v>222</v>
      </c>
      <c r="L30" s="5" t="s">
        <v>60</v>
      </c>
      <c r="M30" s="5" t="s">
        <v>26</v>
      </c>
    </row>
    <row r="31" customFormat="false" ht="22.35" hidden="false" customHeight="false" outlineLevel="0" collapsed="false">
      <c r="A31" s="4" t="s">
        <v>223</v>
      </c>
      <c r="B31" s="5" t="s">
        <v>187</v>
      </c>
      <c r="C31" s="5" t="s">
        <v>224</v>
      </c>
      <c r="D31" s="5" t="s">
        <v>225</v>
      </c>
      <c r="E31" s="5" t="s">
        <v>226</v>
      </c>
      <c r="F31" s="5" t="s">
        <v>112</v>
      </c>
      <c r="G31" s="5" t="s">
        <v>227</v>
      </c>
      <c r="H31" s="5" t="s">
        <v>228</v>
      </c>
      <c r="I31" s="5" t="s">
        <v>23</v>
      </c>
      <c r="J31" s="5"/>
      <c r="K31" s="5" t="s">
        <v>229</v>
      </c>
      <c r="L31" s="5" t="s">
        <v>60</v>
      </c>
      <c r="M31" s="5" t="s">
        <v>26</v>
      </c>
    </row>
    <row r="32" customFormat="false" ht="22.35" hidden="false" customHeight="false" outlineLevel="0" collapsed="false">
      <c r="A32" s="4" t="s">
        <v>230</v>
      </c>
      <c r="B32" s="5" t="s">
        <v>187</v>
      </c>
      <c r="C32" s="5" t="s">
        <v>231</v>
      </c>
      <c r="D32" s="5" t="s">
        <v>204</v>
      </c>
      <c r="E32" s="5" t="s">
        <v>232</v>
      </c>
      <c r="F32" s="5" t="s">
        <v>233</v>
      </c>
      <c r="G32" s="5" t="s">
        <v>234</v>
      </c>
      <c r="H32" s="5" t="s">
        <v>235</v>
      </c>
      <c r="I32" s="5" t="s">
        <v>23</v>
      </c>
      <c r="J32" s="5"/>
      <c r="K32" s="5" t="s">
        <v>236</v>
      </c>
      <c r="L32" s="5" t="s">
        <v>60</v>
      </c>
      <c r="M32" s="5" t="s">
        <v>26</v>
      </c>
    </row>
    <row r="33" customFormat="false" ht="32.8" hidden="false" customHeight="false" outlineLevel="0" collapsed="false">
      <c r="A33" s="4" t="s">
        <v>237</v>
      </c>
      <c r="B33" s="5" t="s">
        <v>238</v>
      </c>
      <c r="C33" s="5" t="s">
        <v>239</v>
      </c>
      <c r="D33" s="5" t="s">
        <v>240</v>
      </c>
      <c r="E33" s="5" t="s">
        <v>241</v>
      </c>
      <c r="F33" s="5" t="s">
        <v>242</v>
      </c>
      <c r="G33" s="5" t="s">
        <v>243</v>
      </c>
      <c r="H33" s="5" t="s">
        <v>244</v>
      </c>
      <c r="I33" s="5" t="s">
        <v>23</v>
      </c>
      <c r="J33" s="5"/>
      <c r="K33" s="5" t="s">
        <v>245</v>
      </c>
      <c r="L33" s="5" t="s">
        <v>60</v>
      </c>
      <c r="M33" s="5" t="s">
        <v>26</v>
      </c>
    </row>
    <row r="34" customFormat="false" ht="32.8" hidden="false" customHeight="false" outlineLevel="0" collapsed="false">
      <c r="A34" s="4" t="s">
        <v>246</v>
      </c>
      <c r="B34" s="5" t="s">
        <v>247</v>
      </c>
      <c r="C34" s="5" t="s">
        <v>248</v>
      </c>
      <c r="D34" s="5" t="s">
        <v>249</v>
      </c>
      <c r="E34" s="5" t="s">
        <v>250</v>
      </c>
      <c r="F34" s="5" t="s">
        <v>251</v>
      </c>
      <c r="G34" s="5" t="s">
        <v>252</v>
      </c>
      <c r="H34" s="5" t="s">
        <v>253</v>
      </c>
      <c r="I34" s="5" t="s">
        <v>23</v>
      </c>
      <c r="J34" s="5" t="s">
        <v>68</v>
      </c>
      <c r="K34" s="5" t="s">
        <v>254</v>
      </c>
      <c r="L34" s="5" t="s">
        <v>25</v>
      </c>
      <c r="M34" s="5" t="s">
        <v>26</v>
      </c>
    </row>
    <row r="35" customFormat="false" ht="22.35" hidden="false" customHeight="false" outlineLevel="0" collapsed="false">
      <c r="A35" s="4" t="s">
        <v>255</v>
      </c>
      <c r="B35" s="5" t="s">
        <v>43</v>
      </c>
      <c r="C35" s="5" t="s">
        <v>256</v>
      </c>
      <c r="D35" s="5" t="s">
        <v>257</v>
      </c>
      <c r="E35" s="5" t="s">
        <v>258</v>
      </c>
      <c r="F35" s="5" t="s">
        <v>112</v>
      </c>
      <c r="G35" s="5" t="s">
        <v>259</v>
      </c>
      <c r="H35" s="5" t="s">
        <v>260</v>
      </c>
      <c r="I35" s="5" t="s">
        <v>23</v>
      </c>
      <c r="J35" s="5"/>
      <c r="K35" s="5" t="s">
        <v>50</v>
      </c>
      <c r="L35" s="5" t="s">
        <v>60</v>
      </c>
      <c r="M35" s="5" t="s">
        <v>26</v>
      </c>
    </row>
    <row r="36" customFormat="false" ht="22.35" hidden="false" customHeight="false" outlineLevel="0" collapsed="false">
      <c r="A36" s="4" t="s">
        <v>261</v>
      </c>
      <c r="B36" s="5" t="s">
        <v>262</v>
      </c>
      <c r="C36" s="5" t="s">
        <v>263</v>
      </c>
      <c r="D36" s="5" t="s">
        <v>264</v>
      </c>
      <c r="E36" s="5" t="s">
        <v>265</v>
      </c>
      <c r="F36" s="5" t="s">
        <v>112</v>
      </c>
      <c r="G36" s="5" t="s">
        <v>266</v>
      </c>
      <c r="H36" s="5" t="s">
        <v>267</v>
      </c>
      <c r="I36" s="5" t="s">
        <v>23</v>
      </c>
      <c r="J36" s="5"/>
      <c r="K36" s="5" t="s">
        <v>268</v>
      </c>
      <c r="L36" s="5" t="s">
        <v>269</v>
      </c>
      <c r="M36" s="5" t="s">
        <v>26</v>
      </c>
    </row>
    <row r="37" customFormat="false" ht="22.35" hidden="false" customHeight="false" outlineLevel="0" collapsed="false">
      <c r="A37" s="4" t="s">
        <v>270</v>
      </c>
      <c r="B37" s="5" t="s">
        <v>271</v>
      </c>
      <c r="C37" s="5" t="s">
        <v>272</v>
      </c>
      <c r="D37" s="5" t="s">
        <v>180</v>
      </c>
      <c r="E37" s="5" t="s">
        <v>273</v>
      </c>
      <c r="F37" s="5" t="s">
        <v>274</v>
      </c>
      <c r="G37" s="5" t="s">
        <v>275</v>
      </c>
      <c r="H37" s="5" t="s">
        <v>276</v>
      </c>
      <c r="I37" s="5" t="s">
        <v>23</v>
      </c>
      <c r="J37" s="5"/>
      <c r="K37" s="5" t="s">
        <v>277</v>
      </c>
      <c r="L37" s="5" t="s">
        <v>60</v>
      </c>
      <c r="M37" s="5" t="s">
        <v>26</v>
      </c>
    </row>
    <row r="38" customFormat="false" ht="22.35" hidden="false" customHeight="false" outlineLevel="0" collapsed="false">
      <c r="A38" s="4" t="s">
        <v>278</v>
      </c>
      <c r="B38" s="5" t="s">
        <v>271</v>
      </c>
      <c r="C38" s="5" t="s">
        <v>279</v>
      </c>
      <c r="D38" s="5" t="s">
        <v>280</v>
      </c>
      <c r="E38" s="5" t="s">
        <v>281</v>
      </c>
      <c r="F38" s="5" t="s">
        <v>282</v>
      </c>
      <c r="G38" s="5" t="s">
        <v>283</v>
      </c>
      <c r="H38" s="5" t="s">
        <v>284</v>
      </c>
      <c r="I38" s="5" t="s">
        <v>23</v>
      </c>
      <c r="J38" s="5"/>
      <c r="K38" s="5" t="s">
        <v>285</v>
      </c>
      <c r="L38" s="5" t="s">
        <v>60</v>
      </c>
      <c r="M38" s="5" t="s">
        <v>26</v>
      </c>
    </row>
    <row r="39" customFormat="false" ht="32.8" hidden="false" customHeight="false" outlineLevel="0" collapsed="false">
      <c r="A39" s="4" t="s">
        <v>286</v>
      </c>
      <c r="B39" s="5" t="s">
        <v>271</v>
      </c>
      <c r="C39" s="5" t="s">
        <v>287</v>
      </c>
      <c r="D39" s="5" t="s">
        <v>280</v>
      </c>
      <c r="E39" s="5" t="s">
        <v>288</v>
      </c>
      <c r="F39" s="5" t="s">
        <v>289</v>
      </c>
      <c r="G39" s="5" t="s">
        <v>290</v>
      </c>
      <c r="H39" s="5" t="s">
        <v>291</v>
      </c>
      <c r="I39" s="5" t="s">
        <v>23</v>
      </c>
      <c r="J39" s="5"/>
      <c r="K39" s="5" t="s">
        <v>292</v>
      </c>
      <c r="L39" s="5" t="s">
        <v>60</v>
      </c>
      <c r="M39" s="5" t="s">
        <v>26</v>
      </c>
    </row>
    <row r="40" customFormat="false" ht="22.35" hidden="false" customHeight="false" outlineLevel="0" collapsed="false">
      <c r="A40" s="4" t="s">
        <v>293</v>
      </c>
      <c r="B40" s="5" t="s">
        <v>271</v>
      </c>
      <c r="C40" s="5" t="s">
        <v>294</v>
      </c>
      <c r="D40" s="5" t="s">
        <v>295</v>
      </c>
      <c r="E40" s="5" t="s">
        <v>296</v>
      </c>
      <c r="F40" s="5" t="s">
        <v>297</v>
      </c>
      <c r="G40" s="5" t="s">
        <v>298</v>
      </c>
      <c r="H40" s="5" t="s">
        <v>299</v>
      </c>
      <c r="I40" s="5" t="s">
        <v>23</v>
      </c>
      <c r="J40" s="5"/>
      <c r="K40" s="5" t="s">
        <v>300</v>
      </c>
      <c r="L40" s="5" t="s">
        <v>60</v>
      </c>
      <c r="M40" s="5" t="s">
        <v>26</v>
      </c>
    </row>
    <row r="41" customFormat="false" ht="22.35" hidden="false" customHeight="false" outlineLevel="0" collapsed="false">
      <c r="A41" s="4" t="s">
        <v>301</v>
      </c>
      <c r="B41" s="5" t="s">
        <v>302</v>
      </c>
      <c r="C41" s="5" t="s">
        <v>303</v>
      </c>
      <c r="D41" s="5" t="s">
        <v>304</v>
      </c>
      <c r="E41" s="5" t="s">
        <v>305</v>
      </c>
      <c r="F41" s="5" t="s">
        <v>306</v>
      </c>
      <c r="G41" s="5" t="s">
        <v>307</v>
      </c>
      <c r="H41" s="5" t="s">
        <v>308</v>
      </c>
      <c r="I41" s="5" t="s">
        <v>23</v>
      </c>
      <c r="J41" s="5"/>
      <c r="K41" s="5" t="s">
        <v>309</v>
      </c>
      <c r="L41" s="5" t="s">
        <v>60</v>
      </c>
      <c r="M41" s="5" t="s">
        <v>26</v>
      </c>
    </row>
    <row r="42" customFormat="false" ht="32.8" hidden="false" customHeight="false" outlineLevel="0" collapsed="false">
      <c r="A42" s="4" t="s">
        <v>310</v>
      </c>
      <c r="B42" s="5" t="s">
        <v>302</v>
      </c>
      <c r="C42" s="5" t="s">
        <v>311</v>
      </c>
      <c r="D42" s="5" t="s">
        <v>312</v>
      </c>
      <c r="E42" s="5" t="s">
        <v>313</v>
      </c>
      <c r="F42" s="5" t="s">
        <v>314</v>
      </c>
      <c r="G42" s="5" t="s">
        <v>315</v>
      </c>
      <c r="H42" s="5" t="s">
        <v>316</v>
      </c>
      <c r="I42" s="5" t="s">
        <v>23</v>
      </c>
      <c r="J42" s="5"/>
      <c r="K42" s="5" t="s">
        <v>317</v>
      </c>
      <c r="L42" s="5" t="s">
        <v>60</v>
      </c>
      <c r="M42" s="5" t="s">
        <v>26</v>
      </c>
    </row>
    <row r="43" customFormat="false" ht="22.35" hidden="false" customHeight="false" outlineLevel="0" collapsed="false">
      <c r="A43" s="4" t="s">
        <v>318</v>
      </c>
      <c r="B43" s="5" t="s">
        <v>319</v>
      </c>
      <c r="C43" s="5" t="s">
        <v>320</v>
      </c>
      <c r="D43" s="5" t="s">
        <v>321</v>
      </c>
      <c r="E43" s="5" t="s">
        <v>322</v>
      </c>
      <c r="F43" s="5" t="s">
        <v>112</v>
      </c>
      <c r="G43" s="5" t="s">
        <v>323</v>
      </c>
      <c r="H43" s="5" t="s">
        <v>324</v>
      </c>
      <c r="I43" s="5" t="s">
        <v>23</v>
      </c>
      <c r="J43" s="5"/>
      <c r="K43" s="5" t="s">
        <v>325</v>
      </c>
      <c r="L43" s="5" t="s">
        <v>60</v>
      </c>
      <c r="M43" s="5" t="s">
        <v>26</v>
      </c>
    </row>
    <row r="44" customFormat="false" ht="22.35" hidden="false" customHeight="false" outlineLevel="0" collapsed="false">
      <c r="A44" s="4" t="s">
        <v>326</v>
      </c>
      <c r="B44" s="5" t="s">
        <v>327</v>
      </c>
      <c r="C44" s="5" t="s">
        <v>328</v>
      </c>
      <c r="D44" s="5" t="s">
        <v>329</v>
      </c>
      <c r="E44" s="5" t="s">
        <v>330</v>
      </c>
      <c r="F44" s="5" t="s">
        <v>331</v>
      </c>
      <c r="G44" s="5" t="s">
        <v>332</v>
      </c>
      <c r="H44" s="5" t="s">
        <v>333</v>
      </c>
      <c r="I44" s="5" t="s">
        <v>23</v>
      </c>
      <c r="J44" s="5"/>
      <c r="K44" s="5" t="s">
        <v>334</v>
      </c>
      <c r="L44" s="5" t="s">
        <v>60</v>
      </c>
      <c r="M44" s="5" t="s">
        <v>26</v>
      </c>
    </row>
    <row r="45" customFormat="false" ht="22.35" hidden="false" customHeight="false" outlineLevel="0" collapsed="false">
      <c r="A45" s="4" t="s">
        <v>335</v>
      </c>
      <c r="B45" s="5" t="s">
        <v>16</v>
      </c>
      <c r="C45" s="5" t="s">
        <v>336</v>
      </c>
      <c r="D45" s="5" t="s">
        <v>337</v>
      </c>
      <c r="E45" s="5" t="s">
        <v>338</v>
      </c>
      <c r="F45" s="5" t="s">
        <v>112</v>
      </c>
      <c r="G45" s="5" t="s">
        <v>339</v>
      </c>
      <c r="H45" s="5" t="s">
        <v>340</v>
      </c>
      <c r="I45" s="5" t="s">
        <v>23</v>
      </c>
      <c r="J45" s="5"/>
      <c r="K45" s="5" t="s">
        <v>24</v>
      </c>
      <c r="L45" s="5" t="s">
        <v>25</v>
      </c>
      <c r="M45" s="5" t="s">
        <v>26</v>
      </c>
    </row>
    <row r="46" customFormat="false" ht="32.8" hidden="false" customHeight="false" outlineLevel="0" collapsed="false">
      <c r="A46" s="4" t="s">
        <v>341</v>
      </c>
      <c r="B46" s="5" t="s">
        <v>52</v>
      </c>
      <c r="C46" s="5" t="s">
        <v>342</v>
      </c>
      <c r="D46" s="5" t="s">
        <v>343</v>
      </c>
      <c r="E46" s="5" t="s">
        <v>344</v>
      </c>
      <c r="F46" s="5" t="s">
        <v>345</v>
      </c>
      <c r="G46" s="5" t="s">
        <v>346</v>
      </c>
      <c r="H46" s="5" t="s">
        <v>347</v>
      </c>
      <c r="I46" s="5" t="s">
        <v>23</v>
      </c>
      <c r="J46" s="5"/>
      <c r="K46" s="5" t="s">
        <v>348</v>
      </c>
      <c r="L46" s="5" t="s">
        <v>60</v>
      </c>
      <c r="M46" s="5" t="s">
        <v>26</v>
      </c>
    </row>
    <row r="47" customFormat="false" ht="32.8" hidden="false" customHeight="false" outlineLevel="0" collapsed="false">
      <c r="A47" s="4" t="s">
        <v>349</v>
      </c>
      <c r="B47" s="5" t="s">
        <v>302</v>
      </c>
      <c r="C47" s="5" t="s">
        <v>350</v>
      </c>
      <c r="D47" s="5" t="s">
        <v>180</v>
      </c>
      <c r="E47" s="5" t="s">
        <v>351</v>
      </c>
      <c r="F47" s="5" t="s">
        <v>112</v>
      </c>
      <c r="G47" s="5" t="s">
        <v>352</v>
      </c>
      <c r="H47" s="5" t="s">
        <v>353</v>
      </c>
      <c r="I47" s="5" t="s">
        <v>23</v>
      </c>
      <c r="J47" s="5"/>
      <c r="K47" s="5" t="s">
        <v>354</v>
      </c>
      <c r="L47" s="5" t="s">
        <v>60</v>
      </c>
      <c r="M47" s="5" t="s">
        <v>26</v>
      </c>
    </row>
  </sheetData>
  <autoFilter ref="A4:M47"/>
  <conditionalFormatting sqref="I5:I47">
    <cfRule type="cellIs" priority="2" operator="equal" aboveAverage="0" equalAverage="0" bottom="0" percent="0" rank="0" text="" dxfId="5">
      <formula>"Pass"</formula>
    </cfRule>
    <cfRule type="cellIs" priority="3" operator="equal" aboveAverage="0" equalAverage="0" bottom="0" percent="0" rank="0" text="" dxfId="6">
      <formula>"Fail"</formula>
    </cfRule>
    <cfRule type="cellIs" priority="4" operator="equal" aboveAverage="0" equalAverage="0" bottom="0" percent="0" rank="0" text="" dxfId="7">
      <formula>"Blocked"</formula>
    </cfRule>
    <cfRule type="cellIs" priority="5" operator="equal" aboveAverage="0" equalAverage="0" bottom="0" percent="0" rank="0" text="" dxfId="7">
      <formula>"Not Run"</formula>
    </cfRule>
  </conditionalFormatting>
  <dataValidations count="1">
    <dataValidation allowBlank="false" errorStyle="stop" operator="between" showDropDown="false" showErrorMessage="false" showInputMessage="false" sqref="I5:I47" type="list">
      <formula1>"Pass,Fail,Blocked,Not Run"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</cols>
  <sheetData>
    <row r="1" customFormat="false" ht="16.15" hidden="false" customHeight="false" outlineLevel="0" collapsed="false">
      <c r="A1" s="6" t="s">
        <v>355</v>
      </c>
    </row>
    <row r="3" customFormat="false" ht="15" hidden="false" customHeight="false" outlineLevel="0" collapsed="false">
      <c r="A3" s="7" t="s">
        <v>356</v>
      </c>
      <c r="B3" s="8" t="n">
        <f aca="false">COUNTA('Functional Tests'!$I$5:$I$47)</f>
        <v>43</v>
      </c>
    </row>
    <row r="4" customFormat="false" ht="15" hidden="false" customHeight="false" outlineLevel="0" collapsed="false">
      <c r="A4" s="7" t="s">
        <v>357</v>
      </c>
      <c r="B4" s="8" t="n">
        <f aca="false">COUNTIF('Functional Tests'!$I$5:$I$47,"Pass")</f>
        <v>43</v>
      </c>
    </row>
    <row r="5" customFormat="false" ht="15" hidden="false" customHeight="false" outlineLevel="0" collapsed="false">
      <c r="A5" s="7" t="s">
        <v>358</v>
      </c>
      <c r="B5" s="8" t="n">
        <f aca="false">COUNTIF('Functional Tests'!$I$5:$I$47,"Fail")</f>
        <v>0</v>
      </c>
    </row>
    <row r="6" customFormat="false" ht="15" hidden="false" customHeight="false" outlineLevel="0" collapsed="false">
      <c r="A6" s="7" t="s">
        <v>359</v>
      </c>
      <c r="B6" s="8" t="n">
        <f aca="false">COUNTIF('Functional Tests'!$I$5:$I$47,"Blocked")</f>
        <v>0</v>
      </c>
    </row>
    <row r="7" customFormat="false" ht="15" hidden="false" customHeight="false" outlineLevel="0" collapsed="false">
      <c r="A7" s="7" t="s">
        <v>360</v>
      </c>
      <c r="B7" s="8" t="n">
        <f aca="false">COUNTIF('Functional Tests'!$I$5:$I$47,"Not Run")</f>
        <v>0</v>
      </c>
    </row>
    <row r="8" customFormat="false" ht="15" hidden="false" customHeight="false" outlineLevel="0" collapsed="false">
      <c r="A8" s="7" t="s">
        <v>361</v>
      </c>
      <c r="B8" s="8" t="n">
        <f aca="false">B4+B5</f>
        <v>43</v>
      </c>
    </row>
    <row r="9" customFormat="false" ht="15" hidden="false" customHeight="false" outlineLevel="0" collapsed="false">
      <c r="A9" s="7" t="s">
        <v>362</v>
      </c>
      <c r="B9" s="9" t="n">
        <f aca="false">IF(B8=0,"N/A",B4/B8)</f>
        <v>1</v>
      </c>
    </row>
    <row r="11" customFormat="false" ht="15" hidden="false" customHeight="false" outlineLevel="0" collapsed="false">
      <c r="A11" s="2" t="s">
        <v>363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2026-10-18T16:57:05Z</dcterms:created>
  <dc:creator>openpyxl</dc:creator>
  <dc:description/>
  <dc:language>en-US</dc:language>
  <cp:lastModifiedBy/>
  <dcterms:modified xsi:type="dcterms:W3CDTF">2026-10-18T16:57:06Z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